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Documents\MSJ\Projects\2025\Bennie Aarts\Subrapport\Data\"/>
    </mc:Choice>
  </mc:AlternateContent>
  <xr:revisionPtr revIDLastSave="0" documentId="13_ncr:1_{B463BB47-5AB5-4AD5-ADC1-41EB0E553C2D}" xr6:coauthVersionLast="47" xr6:coauthVersionMax="47" xr10:uidLastSave="{00000000-0000-0000-0000-000000000000}"/>
  <bookViews>
    <workbookView xWindow="0" yWindow="0" windowWidth="26010" windowHeight="20985" xr2:uid="{F462336D-87E5-4876-AA64-F333E4314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2" i="1"/>
  <c r="J2" i="1" s="1"/>
</calcChain>
</file>

<file path=xl/sharedStrings.xml><?xml version="1.0" encoding="utf-8"?>
<sst xmlns="http://schemas.openxmlformats.org/spreadsheetml/2006/main" count="233" uniqueCount="20">
  <si>
    <t>GP</t>
  </si>
  <si>
    <t>Percentage</t>
  </si>
  <si>
    <t>Denominator</t>
  </si>
  <si>
    <t>Prevalence</t>
  </si>
  <si>
    <t>Total_N</t>
  </si>
  <si>
    <t>Pneumonia_N</t>
  </si>
  <si>
    <t>Estimate</t>
  </si>
  <si>
    <t>Higher</t>
  </si>
  <si>
    <t>Lower</t>
  </si>
  <si>
    <t>Region</t>
  </si>
  <si>
    <t>UGO</t>
  </si>
  <si>
    <t>Author</t>
  </si>
  <si>
    <t>Lotterman</t>
  </si>
  <si>
    <t>Post</t>
  </si>
  <si>
    <t>Distance</t>
  </si>
  <si>
    <t>Provincie</t>
  </si>
  <si>
    <t>OV</t>
  </si>
  <si>
    <t>GD</t>
  </si>
  <si>
    <t>UT</t>
  </si>
  <si>
    <t>NB-L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</si>
</sst>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E99F-A118-4378-9ADD-030C2EB63108}">
  <dimension ref="A1:M90"/>
  <sheetViews>
    <sheetView tabSelected="1" topLeftCell="A13" workbookViewId="0">
      <selection activeCell="A44" sqref="A44:A90"/>
    </sheetView>
  </sheetViews>
  <sheetFormatPr defaultRowHeight="15" x14ac:dyDescent="0.25"/>
  <cols>
    <col min="1" max="1" width="10.5703125" customWidth="1"/>
    <col min="2" max="2" width="10.5703125" style="2" customWidth="1"/>
    <col min="6" max="6" width="14.140625" customWidth="1"/>
    <col min="7" max="7" width="16" customWidth="1"/>
    <col min="8" max="8" width="18.42578125" customWidth="1"/>
    <col min="9" max="9" width="16.7109375" customWidth="1"/>
    <col min="10" max="10" width="17" customWidth="1"/>
  </cols>
  <sheetData>
    <row r="1" spans="1:13" x14ac:dyDescent="0.25">
      <c r="A1" t="s">
        <v>11</v>
      </c>
      <c r="B1" s="2" t="s">
        <v>15</v>
      </c>
      <c r="C1" t="s">
        <v>0</v>
      </c>
      <c r="D1" t="s">
        <v>14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8</v>
      </c>
      <c r="M1" t="s">
        <v>7</v>
      </c>
    </row>
    <row r="2" spans="1:13" x14ac:dyDescent="0.25">
      <c r="A2" t="s">
        <v>12</v>
      </c>
      <c r="B2" s="2" t="s">
        <v>16</v>
      </c>
      <c r="C2">
        <v>3</v>
      </c>
      <c r="D2">
        <v>500</v>
      </c>
      <c r="E2" t="s">
        <v>10</v>
      </c>
      <c r="F2">
        <v>0.49</v>
      </c>
      <c r="G2">
        <v>100</v>
      </c>
      <c r="H2">
        <f>F2/G2</f>
        <v>4.8999999999999998E-3</v>
      </c>
      <c r="I2">
        <v>2884</v>
      </c>
      <c r="J2">
        <f>I2*H2</f>
        <v>14.131599999999999</v>
      </c>
      <c r="K2">
        <v>3.27</v>
      </c>
      <c r="L2">
        <v>0.5</v>
      </c>
      <c r="M2">
        <v>12.68</v>
      </c>
    </row>
    <row r="3" spans="1:13" x14ac:dyDescent="0.25">
      <c r="A3" t="s">
        <v>12</v>
      </c>
      <c r="B3" s="2" t="s">
        <v>16</v>
      </c>
      <c r="C3">
        <v>22</v>
      </c>
      <c r="D3">
        <v>500</v>
      </c>
      <c r="E3" t="s">
        <v>10</v>
      </c>
      <c r="F3">
        <v>2.79</v>
      </c>
      <c r="G3">
        <v>100</v>
      </c>
      <c r="H3">
        <f t="shared" ref="H3:H9" si="0">F3/G3</f>
        <v>2.7900000000000001E-2</v>
      </c>
      <c r="I3">
        <v>2511</v>
      </c>
      <c r="J3">
        <f t="shared" ref="J3:J9" si="1">I3*H3</f>
        <v>70.056899999999999</v>
      </c>
      <c r="K3">
        <v>1.62</v>
      </c>
      <c r="L3">
        <v>0.38</v>
      </c>
      <c r="M3">
        <v>4.67</v>
      </c>
    </row>
    <row r="4" spans="1:13" x14ac:dyDescent="0.25">
      <c r="A4" t="s">
        <v>12</v>
      </c>
      <c r="B4" s="2" t="s">
        <v>16</v>
      </c>
      <c r="C4">
        <v>27</v>
      </c>
      <c r="D4">
        <v>500</v>
      </c>
      <c r="E4" t="s">
        <v>10</v>
      </c>
      <c r="F4">
        <v>5.1100000000000003</v>
      </c>
      <c r="G4">
        <v>100</v>
      </c>
      <c r="H4">
        <f t="shared" si="0"/>
        <v>5.1100000000000007E-2</v>
      </c>
      <c r="I4">
        <v>2309</v>
      </c>
      <c r="J4">
        <f t="shared" si="1"/>
        <v>117.98990000000002</v>
      </c>
      <c r="K4">
        <v>1.28</v>
      </c>
      <c r="L4">
        <v>0.53</v>
      </c>
      <c r="M4">
        <v>2.64</v>
      </c>
    </row>
    <row r="5" spans="1:13" x14ac:dyDescent="0.25">
      <c r="A5" t="s">
        <v>12</v>
      </c>
      <c r="B5" s="2" t="s">
        <v>17</v>
      </c>
      <c r="C5">
        <v>51</v>
      </c>
      <c r="D5">
        <v>500</v>
      </c>
      <c r="E5" t="s">
        <v>10</v>
      </c>
      <c r="F5">
        <v>1.88</v>
      </c>
      <c r="G5">
        <v>100</v>
      </c>
      <c r="H5">
        <f t="shared" si="0"/>
        <v>1.8799999999999997E-2</v>
      </c>
      <c r="I5">
        <v>800</v>
      </c>
      <c r="J5">
        <f t="shared" si="1"/>
        <v>15.039999999999997</v>
      </c>
      <c r="K5">
        <v>2.76</v>
      </c>
      <c r="L5">
        <v>0.15</v>
      </c>
      <c r="M5">
        <v>15.13</v>
      </c>
    </row>
    <row r="6" spans="1:13" x14ac:dyDescent="0.25">
      <c r="A6" t="s">
        <v>12</v>
      </c>
      <c r="B6" s="2" t="s">
        <v>17</v>
      </c>
      <c r="C6">
        <v>41</v>
      </c>
      <c r="D6">
        <v>500</v>
      </c>
      <c r="E6" t="s">
        <v>10</v>
      </c>
      <c r="F6">
        <v>2.77</v>
      </c>
      <c r="G6">
        <v>100</v>
      </c>
      <c r="H6">
        <f t="shared" si="0"/>
        <v>2.7699999999999999E-2</v>
      </c>
      <c r="I6">
        <v>2490</v>
      </c>
      <c r="J6">
        <f t="shared" si="1"/>
        <v>68.972999999999999</v>
      </c>
      <c r="K6">
        <v>1.58</v>
      </c>
      <c r="L6">
        <v>0.47</v>
      </c>
      <c r="M6">
        <v>4.05</v>
      </c>
    </row>
    <row r="7" spans="1:13" x14ac:dyDescent="0.25">
      <c r="A7" t="s">
        <v>12</v>
      </c>
      <c r="B7" s="2" t="s">
        <v>17</v>
      </c>
      <c r="C7">
        <v>32</v>
      </c>
      <c r="D7">
        <v>500</v>
      </c>
      <c r="E7" t="s">
        <v>10</v>
      </c>
      <c r="F7">
        <v>0.99</v>
      </c>
      <c r="G7">
        <v>100</v>
      </c>
      <c r="H7">
        <f t="shared" si="0"/>
        <v>9.8999999999999991E-3</v>
      </c>
      <c r="I7">
        <v>9207</v>
      </c>
      <c r="J7">
        <f t="shared" si="1"/>
        <v>91.149299999999997</v>
      </c>
      <c r="K7">
        <v>1.4</v>
      </c>
      <c r="L7">
        <v>0.23</v>
      </c>
      <c r="M7">
        <v>4.54</v>
      </c>
    </row>
    <row r="8" spans="1:13" x14ac:dyDescent="0.25">
      <c r="A8" t="s">
        <v>12</v>
      </c>
      <c r="B8" s="2" t="s">
        <v>17</v>
      </c>
      <c r="C8">
        <v>5</v>
      </c>
      <c r="D8">
        <v>500</v>
      </c>
      <c r="E8" t="s">
        <v>10</v>
      </c>
      <c r="F8">
        <v>1.67</v>
      </c>
      <c r="G8">
        <v>100</v>
      </c>
      <c r="H8">
        <f t="shared" si="0"/>
        <v>1.67E-2</v>
      </c>
      <c r="I8">
        <v>1553</v>
      </c>
      <c r="J8">
        <f t="shared" si="1"/>
        <v>25.935099999999998</v>
      </c>
      <c r="K8">
        <v>1.33</v>
      </c>
      <c r="L8">
        <v>7.0000000000000007E-2</v>
      </c>
      <c r="M8">
        <v>6.66</v>
      </c>
    </row>
    <row r="9" spans="1:13" x14ac:dyDescent="0.25">
      <c r="A9" t="s">
        <v>12</v>
      </c>
      <c r="B9" s="2" t="s">
        <v>17</v>
      </c>
      <c r="C9">
        <v>4</v>
      </c>
      <c r="D9">
        <v>500</v>
      </c>
      <c r="E9" t="s">
        <v>10</v>
      </c>
      <c r="F9">
        <v>2.2999999999999998</v>
      </c>
      <c r="G9">
        <v>100</v>
      </c>
      <c r="H9">
        <f t="shared" si="0"/>
        <v>2.3E-2</v>
      </c>
      <c r="I9">
        <v>1566</v>
      </c>
      <c r="J9">
        <f t="shared" si="1"/>
        <v>36.018000000000001</v>
      </c>
      <c r="K9">
        <v>0.53</v>
      </c>
      <c r="L9">
        <v>0.03</v>
      </c>
      <c r="M9">
        <v>2.5299999999999998</v>
      </c>
    </row>
    <row r="10" spans="1:13" x14ac:dyDescent="0.25">
      <c r="A10" s="6" t="s">
        <v>12</v>
      </c>
      <c r="B10" s="3" t="s">
        <v>16</v>
      </c>
      <c r="C10" s="2">
        <v>47</v>
      </c>
      <c r="D10" s="1">
        <v>1000</v>
      </c>
      <c r="E10" s="6" t="s">
        <v>10</v>
      </c>
      <c r="I10" s="6">
        <v>4459</v>
      </c>
      <c r="K10" s="5">
        <v>3.54</v>
      </c>
      <c r="L10" s="5">
        <v>0.56000000000000005</v>
      </c>
      <c r="M10" s="5">
        <v>12.05</v>
      </c>
    </row>
    <row r="11" spans="1:13" x14ac:dyDescent="0.25">
      <c r="A11" s="6" t="s">
        <v>12</v>
      </c>
      <c r="B11" s="3" t="s">
        <v>16</v>
      </c>
      <c r="C11" s="2">
        <v>3</v>
      </c>
      <c r="D11" s="6">
        <v>1000</v>
      </c>
      <c r="E11" s="6" t="s">
        <v>10</v>
      </c>
      <c r="I11" s="6">
        <v>2884</v>
      </c>
      <c r="K11" s="5">
        <v>2.2200000000000002</v>
      </c>
      <c r="L11" s="5">
        <v>0.65</v>
      </c>
      <c r="M11" s="5">
        <v>5.72</v>
      </c>
    </row>
    <row r="12" spans="1:13" x14ac:dyDescent="0.25">
      <c r="A12" s="6" t="s">
        <v>12</v>
      </c>
      <c r="B12" s="3" t="s">
        <v>16</v>
      </c>
      <c r="C12" s="2">
        <v>24</v>
      </c>
      <c r="D12" s="6">
        <v>1000</v>
      </c>
      <c r="E12" s="6" t="s">
        <v>10</v>
      </c>
      <c r="I12" s="6">
        <v>1924</v>
      </c>
      <c r="K12" s="5">
        <v>1.4</v>
      </c>
      <c r="L12" s="5">
        <v>0.74</v>
      </c>
      <c r="M12" s="5">
        <v>2.57</v>
      </c>
    </row>
    <row r="13" spans="1:13" x14ac:dyDescent="0.25">
      <c r="A13" s="6" t="s">
        <v>12</v>
      </c>
      <c r="B13" s="3" t="s">
        <v>16</v>
      </c>
      <c r="C13" s="2">
        <v>22</v>
      </c>
      <c r="D13" s="6">
        <v>1000</v>
      </c>
      <c r="E13" s="6" t="s">
        <v>10</v>
      </c>
      <c r="I13" s="6">
        <v>2511</v>
      </c>
      <c r="K13" s="5">
        <v>1.22</v>
      </c>
      <c r="L13" s="5">
        <v>0.48</v>
      </c>
      <c r="M13" s="5">
        <v>2.66</v>
      </c>
    </row>
    <row r="14" spans="1:13" x14ac:dyDescent="0.25">
      <c r="A14" s="6" t="s">
        <v>12</v>
      </c>
      <c r="B14" s="3" t="s">
        <v>16</v>
      </c>
      <c r="C14" s="2">
        <v>30</v>
      </c>
      <c r="D14" s="6">
        <v>1000</v>
      </c>
      <c r="E14" s="6" t="s">
        <v>10</v>
      </c>
      <c r="I14" s="6">
        <v>2346</v>
      </c>
      <c r="K14" s="5">
        <v>1.1000000000000001</v>
      </c>
      <c r="L14" s="5">
        <v>0.06</v>
      </c>
      <c r="M14" s="5">
        <v>5.73</v>
      </c>
    </row>
    <row r="15" spans="1:13" x14ac:dyDescent="0.25">
      <c r="A15" s="6" t="s">
        <v>12</v>
      </c>
      <c r="B15" s="3" t="s">
        <v>16</v>
      </c>
      <c r="C15" s="2">
        <v>39</v>
      </c>
      <c r="D15" s="6">
        <v>1000</v>
      </c>
      <c r="E15" s="6" t="s">
        <v>10</v>
      </c>
      <c r="I15" s="6">
        <v>7794</v>
      </c>
      <c r="K15" s="5">
        <v>0.99</v>
      </c>
      <c r="L15" s="5">
        <v>0.06</v>
      </c>
      <c r="M15" s="5">
        <v>4.75</v>
      </c>
    </row>
    <row r="16" spans="1:13" x14ac:dyDescent="0.25">
      <c r="A16" s="6" t="s">
        <v>12</v>
      </c>
      <c r="B16" s="3" t="s">
        <v>16</v>
      </c>
      <c r="C16" s="2">
        <v>27</v>
      </c>
      <c r="D16" s="6">
        <v>1000</v>
      </c>
      <c r="E16" s="6" t="s">
        <v>10</v>
      </c>
      <c r="I16" s="6">
        <v>2309</v>
      </c>
      <c r="K16" s="5">
        <v>0.64</v>
      </c>
      <c r="L16" s="5">
        <v>0.36</v>
      </c>
      <c r="M16" s="5">
        <v>1.07</v>
      </c>
    </row>
    <row r="17" spans="1:13" x14ac:dyDescent="0.25">
      <c r="A17" s="6" t="s">
        <v>12</v>
      </c>
      <c r="B17" s="3" t="s">
        <v>17</v>
      </c>
      <c r="C17" s="2">
        <v>51</v>
      </c>
      <c r="D17" s="6">
        <v>1000</v>
      </c>
      <c r="E17" s="6" t="s">
        <v>10</v>
      </c>
      <c r="I17" s="6">
        <v>800</v>
      </c>
      <c r="K17" s="5">
        <v>3.24</v>
      </c>
      <c r="L17" s="5">
        <v>1.21</v>
      </c>
      <c r="M17" s="5">
        <v>7.86</v>
      </c>
    </row>
    <row r="18" spans="1:13" x14ac:dyDescent="0.25">
      <c r="A18" s="6" t="s">
        <v>12</v>
      </c>
      <c r="B18" s="3" t="s">
        <v>17</v>
      </c>
      <c r="C18" s="2">
        <v>41</v>
      </c>
      <c r="D18" s="6">
        <v>1000</v>
      </c>
      <c r="E18" s="6" t="s">
        <v>10</v>
      </c>
      <c r="I18" s="6">
        <v>2490</v>
      </c>
      <c r="K18" s="5">
        <v>1.28</v>
      </c>
      <c r="L18" s="5">
        <v>0.76</v>
      </c>
      <c r="M18" s="5">
        <v>2.08</v>
      </c>
    </row>
    <row r="19" spans="1:13" x14ac:dyDescent="0.25">
      <c r="A19" s="6" t="s">
        <v>12</v>
      </c>
      <c r="B19" s="3" t="s">
        <v>17</v>
      </c>
      <c r="C19" s="2">
        <v>32</v>
      </c>
      <c r="D19" s="6">
        <v>1000</v>
      </c>
      <c r="E19" s="6" t="s">
        <v>10</v>
      </c>
      <c r="I19" s="6">
        <v>9207</v>
      </c>
      <c r="K19" s="5">
        <v>1.19</v>
      </c>
      <c r="L19" s="5">
        <v>0.7</v>
      </c>
      <c r="M19" s="5">
        <v>1.91</v>
      </c>
    </row>
    <row r="20" spans="1:13" x14ac:dyDescent="0.25">
      <c r="A20" s="6" t="s">
        <v>12</v>
      </c>
      <c r="B20" s="3" t="s">
        <v>17</v>
      </c>
      <c r="C20" s="2">
        <v>34</v>
      </c>
      <c r="D20" s="6">
        <v>1000</v>
      </c>
      <c r="E20" s="6" t="s">
        <v>10</v>
      </c>
      <c r="I20" s="6">
        <v>2058</v>
      </c>
      <c r="K20" s="5">
        <v>0.98</v>
      </c>
      <c r="L20" s="5">
        <v>0.05</v>
      </c>
      <c r="M20" s="5">
        <v>4.66</v>
      </c>
    </row>
    <row r="21" spans="1:13" x14ac:dyDescent="0.25">
      <c r="A21" s="6" t="s">
        <v>12</v>
      </c>
      <c r="B21" s="3" t="s">
        <v>17</v>
      </c>
      <c r="C21" s="2">
        <v>5</v>
      </c>
      <c r="D21" s="6">
        <v>1000</v>
      </c>
      <c r="E21" s="6" t="s">
        <v>10</v>
      </c>
      <c r="I21" s="6">
        <v>1553</v>
      </c>
      <c r="K21" s="5">
        <v>0.9</v>
      </c>
      <c r="L21" s="5">
        <v>0.21</v>
      </c>
      <c r="M21" s="5">
        <v>2.5299999999999998</v>
      </c>
    </row>
    <row r="22" spans="1:13" x14ac:dyDescent="0.25">
      <c r="A22" s="6" t="s">
        <v>12</v>
      </c>
      <c r="B22" s="3" t="s">
        <v>17</v>
      </c>
      <c r="C22" s="2">
        <v>48</v>
      </c>
      <c r="D22" s="6">
        <v>1000</v>
      </c>
      <c r="E22" s="6" t="s">
        <v>10</v>
      </c>
      <c r="I22" s="6">
        <v>5454</v>
      </c>
      <c r="K22" s="5">
        <v>0.88</v>
      </c>
      <c r="L22" s="5">
        <v>0.05</v>
      </c>
      <c r="M22" s="5">
        <v>4.28</v>
      </c>
    </row>
    <row r="23" spans="1:13" x14ac:dyDescent="0.25">
      <c r="A23" s="6" t="s">
        <v>12</v>
      </c>
      <c r="B23" s="3" t="s">
        <v>17</v>
      </c>
      <c r="C23" s="2">
        <v>36</v>
      </c>
      <c r="D23" s="6">
        <v>1000</v>
      </c>
      <c r="E23" s="6" t="s">
        <v>10</v>
      </c>
      <c r="I23" s="6">
        <v>2903</v>
      </c>
      <c r="K23" s="5">
        <v>0.85</v>
      </c>
      <c r="L23" s="5">
        <v>0.21</v>
      </c>
      <c r="M23" s="5">
        <v>2.36</v>
      </c>
    </row>
    <row r="24" spans="1:13" x14ac:dyDescent="0.25">
      <c r="A24" s="6" t="s">
        <v>12</v>
      </c>
      <c r="B24" s="3" t="s">
        <v>17</v>
      </c>
      <c r="C24" s="2">
        <v>4</v>
      </c>
      <c r="D24" s="6">
        <v>1000</v>
      </c>
      <c r="E24" s="6" t="s">
        <v>10</v>
      </c>
      <c r="I24" s="6">
        <v>1566</v>
      </c>
      <c r="K24" s="5">
        <v>0.41</v>
      </c>
      <c r="L24" s="5">
        <v>0.1</v>
      </c>
      <c r="M24" s="5">
        <v>1.1100000000000001</v>
      </c>
    </row>
    <row r="25" spans="1:13" x14ac:dyDescent="0.25">
      <c r="A25" s="6" t="s">
        <v>12</v>
      </c>
      <c r="B25" s="3" t="s">
        <v>18</v>
      </c>
      <c r="C25" s="2">
        <v>2</v>
      </c>
      <c r="D25" s="1">
        <v>2000</v>
      </c>
      <c r="E25" s="6" t="s">
        <v>10</v>
      </c>
      <c r="I25" s="6">
        <v>2057</v>
      </c>
      <c r="K25" s="5">
        <v>2.4</v>
      </c>
      <c r="L25" s="5">
        <v>0.7</v>
      </c>
      <c r="M25" s="5">
        <v>6.24</v>
      </c>
    </row>
    <row r="26" spans="1:13" x14ac:dyDescent="0.25">
      <c r="A26" s="6" t="s">
        <v>12</v>
      </c>
      <c r="B26" s="3" t="s">
        <v>18</v>
      </c>
      <c r="C26" s="2">
        <v>50</v>
      </c>
      <c r="D26" s="6">
        <v>2000</v>
      </c>
      <c r="E26" s="6" t="s">
        <v>10</v>
      </c>
      <c r="I26" s="6">
        <v>1989</v>
      </c>
      <c r="K26" s="5">
        <v>1.19</v>
      </c>
      <c r="L26" s="5">
        <v>0.49</v>
      </c>
      <c r="M26" s="5">
        <v>4.0199999999999996</v>
      </c>
    </row>
    <row r="27" spans="1:13" x14ac:dyDescent="0.25">
      <c r="A27" s="6" t="s">
        <v>12</v>
      </c>
      <c r="B27" s="3" t="s">
        <v>16</v>
      </c>
      <c r="C27" s="2">
        <v>30</v>
      </c>
      <c r="D27" s="6">
        <v>2000</v>
      </c>
      <c r="E27" s="6" t="s">
        <v>10</v>
      </c>
      <c r="I27" s="6">
        <v>2346</v>
      </c>
      <c r="K27" s="5">
        <v>1.7</v>
      </c>
      <c r="L27" s="5">
        <v>0.49</v>
      </c>
      <c r="M27" s="5">
        <v>4.45</v>
      </c>
    </row>
    <row r="28" spans="1:13" x14ac:dyDescent="0.25">
      <c r="A28" s="6" t="s">
        <v>12</v>
      </c>
      <c r="B28" s="3" t="s">
        <v>16</v>
      </c>
      <c r="C28" s="2">
        <v>1</v>
      </c>
      <c r="D28" s="6">
        <v>2000</v>
      </c>
      <c r="E28" s="6" t="s">
        <v>10</v>
      </c>
      <c r="I28" s="6">
        <v>1535</v>
      </c>
      <c r="K28" s="5">
        <v>1.08</v>
      </c>
      <c r="L28" s="5">
        <v>0.06</v>
      </c>
      <c r="M28" s="5">
        <v>5.85</v>
      </c>
    </row>
    <row r="29" spans="1:13" x14ac:dyDescent="0.25">
      <c r="A29" s="6" t="s">
        <v>12</v>
      </c>
      <c r="B29" s="3" t="s">
        <v>16</v>
      </c>
      <c r="C29" s="2">
        <v>47</v>
      </c>
      <c r="D29" s="6">
        <v>2000</v>
      </c>
      <c r="E29" s="6" t="s">
        <v>10</v>
      </c>
      <c r="I29" s="6">
        <v>4459</v>
      </c>
      <c r="K29" s="5">
        <v>0.98</v>
      </c>
      <c r="L29" s="5">
        <v>0.24</v>
      </c>
      <c r="M29" s="5">
        <v>2.69</v>
      </c>
    </row>
    <row r="30" spans="1:13" x14ac:dyDescent="0.25">
      <c r="A30" s="6" t="s">
        <v>12</v>
      </c>
      <c r="B30" s="3" t="s">
        <v>16</v>
      </c>
      <c r="C30" s="2">
        <v>24</v>
      </c>
      <c r="D30" s="6">
        <v>2000</v>
      </c>
      <c r="E30" s="6" t="s">
        <v>10</v>
      </c>
      <c r="I30" s="6">
        <v>1924</v>
      </c>
      <c r="K30" s="5">
        <v>0.97</v>
      </c>
      <c r="L30" s="5">
        <v>0.57999999999999996</v>
      </c>
      <c r="M30" s="5">
        <v>1.65</v>
      </c>
    </row>
    <row r="31" spans="1:13" x14ac:dyDescent="0.25">
      <c r="A31" s="6" t="s">
        <v>12</v>
      </c>
      <c r="B31" s="3" t="s">
        <v>16</v>
      </c>
      <c r="C31" s="2">
        <v>3</v>
      </c>
      <c r="D31" s="6">
        <v>2000</v>
      </c>
      <c r="E31" s="6" t="s">
        <v>10</v>
      </c>
      <c r="I31" s="6">
        <v>2884</v>
      </c>
      <c r="K31" s="5">
        <v>0.96</v>
      </c>
      <c r="L31" s="5">
        <v>0.54</v>
      </c>
      <c r="M31" s="5">
        <v>1.61</v>
      </c>
    </row>
    <row r="32" spans="1:13" x14ac:dyDescent="0.25">
      <c r="A32" s="6" t="s">
        <v>12</v>
      </c>
      <c r="B32" s="3" t="s">
        <v>16</v>
      </c>
      <c r="C32" s="2">
        <v>39</v>
      </c>
      <c r="D32" s="6">
        <v>2000</v>
      </c>
      <c r="E32" s="6" t="s">
        <v>10</v>
      </c>
      <c r="I32" s="6">
        <v>7794</v>
      </c>
      <c r="K32" s="5">
        <v>0.86</v>
      </c>
      <c r="L32" s="5">
        <v>0.34</v>
      </c>
      <c r="M32" s="5">
        <v>1.81</v>
      </c>
    </row>
    <row r="33" spans="1:13" x14ac:dyDescent="0.25">
      <c r="A33" s="6" t="s">
        <v>12</v>
      </c>
      <c r="B33" s="3" t="s">
        <v>16</v>
      </c>
      <c r="C33" s="2">
        <v>27</v>
      </c>
      <c r="D33" s="6">
        <v>2000</v>
      </c>
      <c r="E33" s="6" t="s">
        <v>10</v>
      </c>
      <c r="I33" s="6">
        <v>2309</v>
      </c>
      <c r="K33" s="5">
        <v>0.72</v>
      </c>
      <c r="L33" s="5">
        <v>0.45</v>
      </c>
      <c r="M33" s="5">
        <v>1.1000000000000001</v>
      </c>
    </row>
    <row r="34" spans="1:13" x14ac:dyDescent="0.25">
      <c r="A34" s="6" t="s">
        <v>12</v>
      </c>
      <c r="B34" s="3" t="s">
        <v>16</v>
      </c>
      <c r="C34" s="2">
        <v>22</v>
      </c>
      <c r="D34" s="6">
        <v>2000</v>
      </c>
      <c r="E34" s="6" t="s">
        <v>10</v>
      </c>
      <c r="I34" s="6">
        <v>2511</v>
      </c>
      <c r="K34" s="5">
        <v>0.64</v>
      </c>
      <c r="L34" s="5">
        <v>0.26</v>
      </c>
      <c r="M34" s="5">
        <v>1.44</v>
      </c>
    </row>
    <row r="35" spans="1:13" x14ac:dyDescent="0.25">
      <c r="A35" s="6" t="s">
        <v>12</v>
      </c>
      <c r="B35" s="3" t="s">
        <v>17</v>
      </c>
      <c r="C35" s="2">
        <v>34</v>
      </c>
      <c r="D35" s="6">
        <v>2000</v>
      </c>
      <c r="E35" s="6" t="s">
        <v>10</v>
      </c>
      <c r="I35" s="6">
        <v>2058</v>
      </c>
      <c r="K35" s="5">
        <v>1.83</v>
      </c>
      <c r="L35" s="5">
        <v>0.62</v>
      </c>
      <c r="M35" s="5">
        <v>4.34</v>
      </c>
    </row>
    <row r="36" spans="1:13" x14ac:dyDescent="0.25">
      <c r="A36" s="6" t="s">
        <v>12</v>
      </c>
      <c r="B36" s="3" t="s">
        <v>17</v>
      </c>
      <c r="C36" s="2">
        <v>51</v>
      </c>
      <c r="D36" s="6">
        <v>2000</v>
      </c>
      <c r="E36" s="6" t="s">
        <v>10</v>
      </c>
      <c r="I36" s="6">
        <v>800</v>
      </c>
      <c r="K36" s="5">
        <v>1.81</v>
      </c>
      <c r="L36" s="5">
        <v>0.74</v>
      </c>
      <c r="M36" s="5">
        <v>5.07</v>
      </c>
    </row>
    <row r="37" spans="1:13" x14ac:dyDescent="0.25">
      <c r="A37" s="6" t="s">
        <v>12</v>
      </c>
      <c r="B37" s="3" t="s">
        <v>17</v>
      </c>
      <c r="C37" s="2">
        <v>4</v>
      </c>
      <c r="D37" s="6">
        <v>2000</v>
      </c>
      <c r="E37" s="6" t="s">
        <v>10</v>
      </c>
      <c r="I37" s="6">
        <v>1566</v>
      </c>
      <c r="K37" s="5">
        <v>1.8</v>
      </c>
      <c r="L37" s="5">
        <v>0.79</v>
      </c>
      <c r="M37" s="5">
        <v>5.19</v>
      </c>
    </row>
    <row r="38" spans="1:13" x14ac:dyDescent="0.25">
      <c r="A38" s="6" t="s">
        <v>12</v>
      </c>
      <c r="B38" s="3" t="s">
        <v>17</v>
      </c>
      <c r="C38" s="2">
        <v>15</v>
      </c>
      <c r="D38" s="6">
        <v>2000</v>
      </c>
      <c r="E38" s="6" t="s">
        <v>10</v>
      </c>
      <c r="I38" s="6">
        <v>2402</v>
      </c>
      <c r="K38" s="5">
        <v>1.22</v>
      </c>
      <c r="L38" s="5">
        <v>0.6</v>
      </c>
      <c r="M38" s="5">
        <v>2.2999999999999998</v>
      </c>
    </row>
    <row r="39" spans="1:13" x14ac:dyDescent="0.25">
      <c r="A39" s="6" t="s">
        <v>12</v>
      </c>
      <c r="B39" s="3" t="s">
        <v>17</v>
      </c>
      <c r="C39" s="2">
        <v>32</v>
      </c>
      <c r="D39" s="6">
        <v>2000</v>
      </c>
      <c r="E39" s="6" t="s">
        <v>10</v>
      </c>
      <c r="I39" s="6">
        <v>9207</v>
      </c>
      <c r="K39" s="5">
        <v>0.95</v>
      </c>
      <c r="L39" s="5">
        <v>0.63</v>
      </c>
      <c r="M39" s="5">
        <v>1.47</v>
      </c>
    </row>
    <row r="40" spans="1:13" x14ac:dyDescent="0.25">
      <c r="A40" s="6" t="s">
        <v>12</v>
      </c>
      <c r="B40" s="3" t="s">
        <v>17</v>
      </c>
      <c r="C40" s="2">
        <v>48</v>
      </c>
      <c r="D40" s="6">
        <v>2000</v>
      </c>
      <c r="E40" s="6" t="s">
        <v>10</v>
      </c>
      <c r="I40" s="6">
        <v>5454</v>
      </c>
      <c r="K40" s="5">
        <v>0.76</v>
      </c>
      <c r="L40" s="5">
        <v>0.49</v>
      </c>
      <c r="M40" s="5">
        <v>1.1399999999999999</v>
      </c>
    </row>
    <row r="41" spans="1:13" x14ac:dyDescent="0.25">
      <c r="A41" s="6" t="s">
        <v>12</v>
      </c>
      <c r="B41" s="3" t="s">
        <v>17</v>
      </c>
      <c r="C41" s="2">
        <v>5</v>
      </c>
      <c r="D41" s="6">
        <v>2000</v>
      </c>
      <c r="E41" s="6" t="s">
        <v>10</v>
      </c>
      <c r="I41" s="6">
        <v>1553</v>
      </c>
      <c r="K41" s="5">
        <v>0.71</v>
      </c>
      <c r="L41" s="5">
        <v>0.36</v>
      </c>
      <c r="M41" s="5">
        <v>1.54</v>
      </c>
    </row>
    <row r="42" spans="1:13" x14ac:dyDescent="0.25">
      <c r="A42" s="6" t="s">
        <v>12</v>
      </c>
      <c r="B42" s="3" t="s">
        <v>17</v>
      </c>
      <c r="C42" s="2">
        <v>41</v>
      </c>
      <c r="D42" s="6">
        <v>2000</v>
      </c>
      <c r="E42" s="6" t="s">
        <v>10</v>
      </c>
      <c r="I42" s="6">
        <v>2490</v>
      </c>
      <c r="K42" s="5">
        <v>0.66</v>
      </c>
      <c r="L42" s="5">
        <v>0.41</v>
      </c>
      <c r="M42" s="5">
        <v>1.1200000000000001</v>
      </c>
    </row>
    <row r="43" spans="1:13" x14ac:dyDescent="0.25">
      <c r="A43" s="6" t="s">
        <v>12</v>
      </c>
      <c r="B43" s="3" t="s">
        <v>17</v>
      </c>
      <c r="C43" s="2">
        <v>36</v>
      </c>
      <c r="D43" s="6">
        <v>2000</v>
      </c>
      <c r="E43" t="s">
        <v>10</v>
      </c>
      <c r="I43" s="6">
        <v>2903</v>
      </c>
      <c r="K43" s="5">
        <v>0.46</v>
      </c>
      <c r="L43" s="5">
        <v>0.16</v>
      </c>
      <c r="M43" s="5">
        <v>1.04</v>
      </c>
    </row>
    <row r="44" spans="1:13" x14ac:dyDescent="0.25">
      <c r="A44" t="s">
        <v>13</v>
      </c>
      <c r="C44" s="7">
        <v>4</v>
      </c>
      <c r="D44">
        <v>500</v>
      </c>
      <c r="E44" t="s">
        <v>19</v>
      </c>
      <c r="K44" s="4"/>
      <c r="L44" s="4"/>
      <c r="M44" s="4"/>
    </row>
    <row r="45" spans="1:13" x14ac:dyDescent="0.25">
      <c r="A45" s="8" t="s">
        <v>13</v>
      </c>
      <c r="C45" s="7">
        <v>8</v>
      </c>
      <c r="D45" s="7">
        <v>500</v>
      </c>
      <c r="E45" s="7" t="s">
        <v>19</v>
      </c>
    </row>
    <row r="46" spans="1:13" x14ac:dyDescent="0.25">
      <c r="A46" s="8" t="s">
        <v>13</v>
      </c>
      <c r="C46" s="7">
        <v>14</v>
      </c>
      <c r="D46" s="7">
        <v>500</v>
      </c>
      <c r="E46" s="7" t="s">
        <v>19</v>
      </c>
    </row>
    <row r="47" spans="1:13" x14ac:dyDescent="0.25">
      <c r="A47" s="8" t="s">
        <v>13</v>
      </c>
      <c r="C47" s="7">
        <v>15</v>
      </c>
      <c r="D47" s="7">
        <v>500</v>
      </c>
      <c r="E47" s="7" t="s">
        <v>19</v>
      </c>
    </row>
    <row r="48" spans="1:13" x14ac:dyDescent="0.25">
      <c r="A48" s="8" t="s">
        <v>13</v>
      </c>
      <c r="C48" s="7">
        <v>19</v>
      </c>
      <c r="D48" s="7">
        <v>500</v>
      </c>
      <c r="E48" s="7" t="s">
        <v>19</v>
      </c>
    </row>
    <row r="49" spans="1:5" x14ac:dyDescent="0.25">
      <c r="A49" s="8" t="s">
        <v>13</v>
      </c>
      <c r="C49" s="7">
        <v>20</v>
      </c>
      <c r="D49" s="7">
        <v>500</v>
      </c>
      <c r="E49" s="7" t="s">
        <v>19</v>
      </c>
    </row>
    <row r="50" spans="1:5" x14ac:dyDescent="0.25">
      <c r="A50" s="8" t="s">
        <v>13</v>
      </c>
      <c r="C50" s="7">
        <v>21</v>
      </c>
      <c r="D50" s="7">
        <v>500</v>
      </c>
      <c r="E50" s="7" t="s">
        <v>19</v>
      </c>
    </row>
    <row r="51" spans="1:5" x14ac:dyDescent="0.25">
      <c r="A51" s="8" t="s">
        <v>13</v>
      </c>
      <c r="C51" s="8">
        <v>1</v>
      </c>
      <c r="D51">
        <v>100</v>
      </c>
      <c r="E51" s="8" t="s">
        <v>19</v>
      </c>
    </row>
    <row r="52" spans="1:5" x14ac:dyDescent="0.25">
      <c r="A52" s="8" t="s">
        <v>13</v>
      </c>
      <c r="C52" s="8">
        <v>2</v>
      </c>
      <c r="D52" s="8">
        <v>100</v>
      </c>
      <c r="E52" s="8" t="s">
        <v>19</v>
      </c>
    </row>
    <row r="53" spans="1:5" x14ac:dyDescent="0.25">
      <c r="A53" s="8" t="s">
        <v>13</v>
      </c>
      <c r="C53" s="8">
        <v>3</v>
      </c>
      <c r="D53" s="8">
        <v>100</v>
      </c>
      <c r="E53" s="8" t="s">
        <v>19</v>
      </c>
    </row>
    <row r="54" spans="1:5" x14ac:dyDescent="0.25">
      <c r="A54" s="8" t="s">
        <v>13</v>
      </c>
      <c r="C54" s="8">
        <v>4</v>
      </c>
      <c r="D54" s="8">
        <v>100</v>
      </c>
      <c r="E54" s="8" t="s">
        <v>19</v>
      </c>
    </row>
    <row r="55" spans="1:5" x14ac:dyDescent="0.25">
      <c r="A55" s="8" t="s">
        <v>13</v>
      </c>
      <c r="C55" s="8">
        <v>5</v>
      </c>
      <c r="D55" s="8">
        <v>100</v>
      </c>
      <c r="E55" s="8" t="s">
        <v>19</v>
      </c>
    </row>
    <row r="56" spans="1:5" x14ac:dyDescent="0.25">
      <c r="A56" s="8" t="s">
        <v>13</v>
      </c>
      <c r="C56" s="8">
        <v>6</v>
      </c>
      <c r="D56" s="8">
        <v>100</v>
      </c>
      <c r="E56" s="8" t="s">
        <v>19</v>
      </c>
    </row>
    <row r="57" spans="1:5" x14ac:dyDescent="0.25">
      <c r="A57" s="8" t="s">
        <v>13</v>
      </c>
      <c r="C57" s="8">
        <v>7</v>
      </c>
      <c r="D57" s="8">
        <v>100</v>
      </c>
      <c r="E57" s="8" t="s">
        <v>19</v>
      </c>
    </row>
    <row r="58" spans="1:5" x14ac:dyDescent="0.25">
      <c r="A58" s="8" t="s">
        <v>13</v>
      </c>
      <c r="C58" s="8">
        <v>8</v>
      </c>
      <c r="D58" s="8">
        <v>100</v>
      </c>
      <c r="E58" s="8" t="s">
        <v>19</v>
      </c>
    </row>
    <row r="59" spans="1:5" x14ac:dyDescent="0.25">
      <c r="A59" s="8" t="s">
        <v>13</v>
      </c>
      <c r="C59" s="8">
        <v>10</v>
      </c>
      <c r="D59" s="8">
        <v>100</v>
      </c>
      <c r="E59" s="8" t="s">
        <v>19</v>
      </c>
    </row>
    <row r="60" spans="1:5" x14ac:dyDescent="0.25">
      <c r="A60" s="8" t="s">
        <v>13</v>
      </c>
      <c r="C60" s="8">
        <v>11</v>
      </c>
      <c r="D60" s="8">
        <v>100</v>
      </c>
      <c r="E60" s="8" t="s">
        <v>19</v>
      </c>
    </row>
    <row r="61" spans="1:5" x14ac:dyDescent="0.25">
      <c r="A61" s="8" t="s">
        <v>13</v>
      </c>
      <c r="C61" s="8">
        <v>12</v>
      </c>
      <c r="D61" s="8">
        <v>100</v>
      </c>
      <c r="E61" s="8" t="s">
        <v>19</v>
      </c>
    </row>
    <row r="62" spans="1:5" x14ac:dyDescent="0.25">
      <c r="A62" s="8" t="s">
        <v>13</v>
      </c>
      <c r="C62" s="8">
        <v>14</v>
      </c>
      <c r="D62" s="8">
        <v>100</v>
      </c>
      <c r="E62" s="8" t="s">
        <v>19</v>
      </c>
    </row>
    <row r="63" spans="1:5" x14ac:dyDescent="0.25">
      <c r="A63" s="8" t="s">
        <v>13</v>
      </c>
      <c r="C63" s="8">
        <v>15</v>
      </c>
      <c r="D63" s="8">
        <v>100</v>
      </c>
      <c r="E63" s="8" t="s">
        <v>19</v>
      </c>
    </row>
    <row r="64" spans="1:5" x14ac:dyDescent="0.25">
      <c r="A64" s="8" t="s">
        <v>13</v>
      </c>
      <c r="C64" s="8">
        <v>17</v>
      </c>
      <c r="D64" s="8">
        <v>100</v>
      </c>
      <c r="E64" s="8" t="s">
        <v>19</v>
      </c>
    </row>
    <row r="65" spans="1:5" x14ac:dyDescent="0.25">
      <c r="A65" s="8" t="s">
        <v>13</v>
      </c>
      <c r="C65" s="8">
        <v>18</v>
      </c>
      <c r="D65" s="8">
        <v>100</v>
      </c>
      <c r="E65" s="8" t="s">
        <v>19</v>
      </c>
    </row>
    <row r="66" spans="1:5" x14ac:dyDescent="0.25">
      <c r="A66" s="8" t="s">
        <v>13</v>
      </c>
      <c r="C66" s="8">
        <v>19</v>
      </c>
      <c r="D66" s="8">
        <v>100</v>
      </c>
      <c r="E66" s="8" t="s">
        <v>19</v>
      </c>
    </row>
    <row r="67" spans="1:5" x14ac:dyDescent="0.25">
      <c r="A67" s="8" t="s">
        <v>13</v>
      </c>
      <c r="C67" s="8">
        <v>20</v>
      </c>
      <c r="D67" s="8">
        <v>100</v>
      </c>
      <c r="E67" s="8" t="s">
        <v>19</v>
      </c>
    </row>
    <row r="68" spans="1:5" x14ac:dyDescent="0.25">
      <c r="A68" s="8" t="s">
        <v>13</v>
      </c>
      <c r="C68" s="8">
        <v>21</v>
      </c>
      <c r="D68" s="8">
        <v>100</v>
      </c>
      <c r="E68" s="8" t="s">
        <v>19</v>
      </c>
    </row>
    <row r="69" spans="1:5" x14ac:dyDescent="0.25">
      <c r="A69" s="8" t="s">
        <v>13</v>
      </c>
      <c r="C69" s="8">
        <v>22</v>
      </c>
      <c r="D69" s="8">
        <v>100</v>
      </c>
      <c r="E69" s="8" t="s">
        <v>19</v>
      </c>
    </row>
    <row r="70" spans="1:5" x14ac:dyDescent="0.25">
      <c r="A70" s="8" t="s">
        <v>13</v>
      </c>
      <c r="C70" s="8">
        <v>23</v>
      </c>
      <c r="D70" s="8">
        <v>100</v>
      </c>
      <c r="E70" s="8" t="s">
        <v>19</v>
      </c>
    </row>
    <row r="71" spans="1:5" x14ac:dyDescent="0.25">
      <c r="A71" s="8" t="s">
        <v>13</v>
      </c>
      <c r="C71" s="8">
        <v>1</v>
      </c>
      <c r="D71">
        <v>2000</v>
      </c>
      <c r="E71" s="8" t="s">
        <v>19</v>
      </c>
    </row>
    <row r="72" spans="1:5" x14ac:dyDescent="0.25">
      <c r="A72" s="8" t="s">
        <v>13</v>
      </c>
      <c r="C72" s="8">
        <v>2</v>
      </c>
      <c r="D72" s="8">
        <v>2000</v>
      </c>
      <c r="E72" s="8" t="s">
        <v>19</v>
      </c>
    </row>
    <row r="73" spans="1:5" x14ac:dyDescent="0.25">
      <c r="A73" s="8" t="s">
        <v>13</v>
      </c>
      <c r="C73" s="8">
        <v>3</v>
      </c>
      <c r="D73" s="8">
        <v>2000</v>
      </c>
      <c r="E73" s="8" t="s">
        <v>19</v>
      </c>
    </row>
    <row r="74" spans="1:5" x14ac:dyDescent="0.25">
      <c r="A74" s="8" t="s">
        <v>13</v>
      </c>
      <c r="C74" s="8">
        <v>4</v>
      </c>
      <c r="D74" s="8">
        <v>2000</v>
      </c>
      <c r="E74" s="8" t="s">
        <v>19</v>
      </c>
    </row>
    <row r="75" spans="1:5" x14ac:dyDescent="0.25">
      <c r="A75" s="8" t="s">
        <v>13</v>
      </c>
      <c r="C75" s="8">
        <v>5</v>
      </c>
      <c r="D75" s="8">
        <v>2000</v>
      </c>
      <c r="E75" s="8" t="s">
        <v>19</v>
      </c>
    </row>
    <row r="76" spans="1:5" x14ac:dyDescent="0.25">
      <c r="A76" s="8" t="s">
        <v>13</v>
      </c>
      <c r="C76" s="8">
        <v>6</v>
      </c>
      <c r="D76" s="8">
        <v>2000</v>
      </c>
      <c r="E76" s="8" t="s">
        <v>19</v>
      </c>
    </row>
    <row r="77" spans="1:5" x14ac:dyDescent="0.25">
      <c r="A77" s="8" t="s">
        <v>13</v>
      </c>
      <c r="C77" s="8">
        <v>7</v>
      </c>
      <c r="D77" s="8">
        <v>2000</v>
      </c>
      <c r="E77" s="8" t="s">
        <v>19</v>
      </c>
    </row>
    <row r="78" spans="1:5" x14ac:dyDescent="0.25">
      <c r="A78" s="8" t="s">
        <v>13</v>
      </c>
      <c r="C78" s="8">
        <v>8</v>
      </c>
      <c r="D78" s="8">
        <v>2000</v>
      </c>
      <c r="E78" s="8" t="s">
        <v>19</v>
      </c>
    </row>
    <row r="79" spans="1:5" x14ac:dyDescent="0.25">
      <c r="A79" s="8" t="s">
        <v>13</v>
      </c>
      <c r="C79" s="8">
        <v>10</v>
      </c>
      <c r="D79" s="8">
        <v>2000</v>
      </c>
      <c r="E79" s="8" t="s">
        <v>19</v>
      </c>
    </row>
    <row r="80" spans="1:5" x14ac:dyDescent="0.25">
      <c r="A80" s="8" t="s">
        <v>13</v>
      </c>
      <c r="C80" s="8">
        <v>11</v>
      </c>
      <c r="D80" s="8">
        <v>2000</v>
      </c>
      <c r="E80" s="8" t="s">
        <v>19</v>
      </c>
    </row>
    <row r="81" spans="1:5" x14ac:dyDescent="0.25">
      <c r="A81" s="8" t="s">
        <v>13</v>
      </c>
      <c r="C81" s="8">
        <v>12</v>
      </c>
      <c r="D81" s="8">
        <v>2000</v>
      </c>
      <c r="E81" s="8" t="s">
        <v>19</v>
      </c>
    </row>
    <row r="82" spans="1:5" x14ac:dyDescent="0.25">
      <c r="A82" s="8" t="s">
        <v>13</v>
      </c>
      <c r="C82" s="8">
        <v>14</v>
      </c>
      <c r="D82" s="8">
        <v>2000</v>
      </c>
      <c r="E82" s="8" t="s">
        <v>19</v>
      </c>
    </row>
    <row r="83" spans="1:5" x14ac:dyDescent="0.25">
      <c r="A83" s="8" t="s">
        <v>13</v>
      </c>
      <c r="C83" s="8">
        <v>15</v>
      </c>
      <c r="D83" s="8">
        <v>2000</v>
      </c>
      <c r="E83" s="8" t="s">
        <v>19</v>
      </c>
    </row>
    <row r="84" spans="1:5" x14ac:dyDescent="0.25">
      <c r="A84" s="8" t="s">
        <v>13</v>
      </c>
      <c r="C84" s="8">
        <v>17</v>
      </c>
      <c r="D84" s="8">
        <v>2000</v>
      </c>
      <c r="E84" s="8" t="s">
        <v>19</v>
      </c>
    </row>
    <row r="85" spans="1:5" x14ac:dyDescent="0.25">
      <c r="A85" s="8" t="s">
        <v>13</v>
      </c>
      <c r="C85" s="8">
        <v>18</v>
      </c>
      <c r="D85" s="8">
        <v>2000</v>
      </c>
      <c r="E85" s="8" t="s">
        <v>19</v>
      </c>
    </row>
    <row r="86" spans="1:5" x14ac:dyDescent="0.25">
      <c r="A86" s="8" t="s">
        <v>13</v>
      </c>
      <c r="C86" s="8">
        <v>19</v>
      </c>
      <c r="D86" s="8">
        <v>2000</v>
      </c>
      <c r="E86" s="8" t="s">
        <v>19</v>
      </c>
    </row>
    <row r="87" spans="1:5" x14ac:dyDescent="0.25">
      <c r="A87" s="8" t="s">
        <v>13</v>
      </c>
      <c r="C87" s="8">
        <v>20</v>
      </c>
      <c r="D87" s="8">
        <v>2000</v>
      </c>
      <c r="E87" s="8" t="s">
        <v>19</v>
      </c>
    </row>
    <row r="88" spans="1:5" x14ac:dyDescent="0.25">
      <c r="A88" s="8" t="s">
        <v>13</v>
      </c>
      <c r="C88" s="8">
        <v>21</v>
      </c>
      <c r="D88" s="8">
        <v>2000</v>
      </c>
      <c r="E88" s="8" t="s">
        <v>19</v>
      </c>
    </row>
    <row r="89" spans="1:5" x14ac:dyDescent="0.25">
      <c r="A89" s="8" t="s">
        <v>13</v>
      </c>
      <c r="C89" s="8">
        <v>22</v>
      </c>
      <c r="D89" s="8">
        <v>2000</v>
      </c>
      <c r="E89" s="8" t="s">
        <v>19</v>
      </c>
    </row>
    <row r="90" spans="1:5" x14ac:dyDescent="0.25">
      <c r="A90" s="8" t="s">
        <v>13</v>
      </c>
      <c r="C90" s="8">
        <v>23</v>
      </c>
      <c r="D90" s="8">
        <v>2000</v>
      </c>
      <c r="E90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Jacobs</dc:creator>
  <cp:lastModifiedBy>Marc Jacobs (INNOSENS)</cp:lastModifiedBy>
  <dcterms:created xsi:type="dcterms:W3CDTF">2025-12-10T08:35:53Z</dcterms:created>
  <dcterms:modified xsi:type="dcterms:W3CDTF">2026-01-05T12:51:40Z</dcterms:modified>
</cp:coreProperties>
</file>