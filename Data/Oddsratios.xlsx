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j\Documents\MSJ\Projects\2025\Bennie Aarts\Subrapport\Data\"/>
    </mc:Choice>
  </mc:AlternateContent>
  <xr:revisionPtr revIDLastSave="0" documentId="13_ncr:1_{AD260D61-20CF-461D-BB5D-BBC2B969681E}" xr6:coauthVersionLast="47" xr6:coauthVersionMax="47" xr10:uidLastSave="{00000000-0000-0000-0000-000000000000}"/>
  <bookViews>
    <workbookView xWindow="25695" yWindow="0" windowWidth="26010" windowHeight="20985" activeTab="1" xr2:uid="{47145107-9674-4BE4-8D57-8645EDA7E158}"/>
  </bookViews>
  <sheets>
    <sheet name="Sheet1" sheetId="1" r:id="rId1"/>
    <sheet name="Sheet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3" i="2" l="1"/>
  <c r="R43" i="2" s="1"/>
  <c r="T43" i="2"/>
  <c r="U43" i="2" s="1"/>
  <c r="W43" i="2"/>
  <c r="X43" i="2" s="1"/>
  <c r="T4" i="2"/>
  <c r="U4" i="2" s="1"/>
  <c r="Q3" i="2"/>
  <c r="R3" i="2" s="1"/>
  <c r="Q6" i="2"/>
  <c r="R6" i="2" s="1"/>
  <c r="Q9" i="2"/>
  <c r="R9" i="2" s="1"/>
  <c r="Q33" i="2"/>
  <c r="R33" i="2" s="1"/>
  <c r="Q36" i="2"/>
  <c r="R36" i="2" s="1"/>
  <c r="Q39" i="2"/>
  <c r="R39" i="2" s="1"/>
  <c r="Q4" i="2"/>
  <c r="R4" i="2" s="1"/>
  <c r="Q7" i="2"/>
  <c r="R7" i="2" s="1"/>
  <c r="Q10" i="2"/>
  <c r="R10" i="2" s="1"/>
  <c r="Q34" i="2"/>
  <c r="R34" i="2" s="1"/>
  <c r="T3" i="2"/>
  <c r="U3" i="2" s="1"/>
  <c r="T6" i="2"/>
  <c r="U6" i="2" s="1"/>
  <c r="T9" i="2"/>
  <c r="U9" i="2" s="1"/>
  <c r="T33" i="2"/>
  <c r="U33" i="2" s="1"/>
  <c r="T36" i="2"/>
  <c r="U36" i="2" s="1"/>
  <c r="T39" i="2"/>
  <c r="U39" i="2" s="1"/>
  <c r="T7" i="2"/>
  <c r="U7" i="2" s="1"/>
  <c r="T10" i="2"/>
  <c r="U10" i="2" s="1"/>
  <c r="T34" i="2"/>
  <c r="U34" i="2" s="1"/>
  <c r="W3" i="2"/>
  <c r="X3" i="2" s="1"/>
  <c r="W6" i="2"/>
  <c r="X6" i="2" s="1"/>
  <c r="W9" i="2"/>
  <c r="X9" i="2" s="1"/>
  <c r="W33" i="2"/>
  <c r="X33" i="2" s="1"/>
  <c r="W36" i="2"/>
  <c r="X36" i="2" s="1"/>
  <c r="W39" i="2"/>
  <c r="X39" i="2" s="1"/>
  <c r="W4" i="2"/>
  <c r="X4" i="2" s="1"/>
  <c r="W7" i="2"/>
  <c r="X7" i="2" s="1"/>
  <c r="W10" i="2"/>
  <c r="X10" i="2" s="1"/>
  <c r="W34" i="2"/>
  <c r="X34" i="2" s="1"/>
  <c r="Q37" i="2"/>
  <c r="R37" i="2" s="1"/>
  <c r="Q40" i="2"/>
  <c r="R40" i="2" s="1"/>
  <c r="T37" i="2"/>
  <c r="U37" i="2" s="1"/>
  <c r="T40" i="2"/>
  <c r="U40" i="2" s="1"/>
  <c r="W37" i="2"/>
  <c r="X37" i="2" s="1"/>
  <c r="W40" i="2"/>
  <c r="X40" i="2" s="1"/>
  <c r="Q35" i="2"/>
  <c r="R35" i="2" s="1"/>
  <c r="T35" i="2"/>
  <c r="U35" i="2" s="1"/>
  <c r="W35" i="2"/>
  <c r="X35" i="2" s="1"/>
  <c r="Q38" i="2"/>
  <c r="R38" i="2" s="1"/>
  <c r="T38" i="2"/>
  <c r="U38" i="2" s="1"/>
  <c r="W38" i="2"/>
  <c r="X38" i="2" s="1"/>
  <c r="Q41" i="2"/>
  <c r="R41" i="2" s="1"/>
  <c r="T41" i="2"/>
  <c r="U41" i="2" s="1"/>
  <c r="W41" i="2"/>
  <c r="X41" i="2" s="1"/>
  <c r="Q42" i="2"/>
  <c r="R42" i="2" s="1"/>
  <c r="T42" i="2"/>
  <c r="U42" i="2" s="1"/>
  <c r="W42" i="2"/>
  <c r="X42" i="2" s="1"/>
  <c r="Q5" i="2"/>
  <c r="R5" i="2" s="1"/>
  <c r="T5" i="2"/>
  <c r="U5" i="2" s="1"/>
  <c r="W5" i="2"/>
  <c r="X5" i="2" s="1"/>
  <c r="Q8" i="2"/>
  <c r="R8" i="2" s="1"/>
  <c r="T8" i="2"/>
  <c r="U8" i="2" s="1"/>
  <c r="W8" i="2"/>
  <c r="X8" i="2" s="1"/>
  <c r="Q11" i="2"/>
  <c r="R11" i="2" s="1"/>
  <c r="T11" i="2"/>
  <c r="U11" i="2" s="1"/>
  <c r="W11" i="2"/>
  <c r="X11" i="2" s="1"/>
  <c r="Q12" i="2"/>
  <c r="R12" i="2" s="1"/>
  <c r="T12" i="2"/>
  <c r="U12" i="2" s="1"/>
  <c r="W12" i="2"/>
  <c r="X12" i="2" s="1"/>
  <c r="W2" i="2"/>
  <c r="X2" i="2" s="1"/>
  <c r="W14" i="2"/>
  <c r="X14" i="2" s="1"/>
  <c r="W13" i="2"/>
  <c r="X13" i="2" s="1"/>
  <c r="W15" i="2"/>
  <c r="X15" i="2" s="1"/>
  <c r="W16" i="2"/>
  <c r="X16" i="2" s="1"/>
  <c r="W17" i="2"/>
  <c r="X17" i="2" s="1"/>
  <c r="W18" i="2"/>
  <c r="X18" i="2" s="1"/>
  <c r="W19" i="2"/>
  <c r="X19" i="2" s="1"/>
  <c r="W20" i="2"/>
  <c r="X20" i="2" s="1"/>
  <c r="W21" i="2"/>
  <c r="X21" i="2" s="1"/>
  <c r="W22" i="2"/>
  <c r="X22" i="2" s="1"/>
  <c r="W23" i="2"/>
  <c r="X23" i="2" s="1"/>
  <c r="W24" i="2"/>
  <c r="X24" i="2" s="1"/>
  <c r="W25" i="2"/>
  <c r="X25" i="2" s="1"/>
  <c r="W26" i="2"/>
  <c r="X26" i="2" s="1"/>
  <c r="W27" i="2"/>
  <c r="X27" i="2" s="1"/>
  <c r="W28" i="2"/>
  <c r="X28" i="2" s="1"/>
  <c r="W29" i="2"/>
  <c r="X29" i="2" s="1"/>
  <c r="W30" i="2"/>
  <c r="X30" i="2" s="1"/>
  <c r="W31" i="2"/>
  <c r="X31" i="2" s="1"/>
  <c r="W32" i="2"/>
  <c r="X32" i="2" s="1"/>
  <c r="W45" i="2"/>
  <c r="X45" i="2" s="1"/>
  <c r="W44" i="2"/>
  <c r="X44" i="2" s="1"/>
  <c r="W46" i="2"/>
  <c r="X46" i="2" s="1"/>
  <c r="W47" i="2"/>
  <c r="X47" i="2" s="1"/>
  <c r="W48" i="2"/>
  <c r="X48" i="2" s="1"/>
  <c r="W49" i="2"/>
  <c r="X49" i="2" s="1"/>
  <c r="W50" i="2"/>
  <c r="X50" i="2" s="1"/>
  <c r="W51" i="2"/>
  <c r="X51" i="2" s="1"/>
  <c r="W52" i="2"/>
  <c r="X52" i="2" s="1"/>
  <c r="W53" i="2"/>
  <c r="X53" i="2" s="1"/>
  <c r="W54" i="2"/>
  <c r="X54" i="2" s="1"/>
  <c r="W55" i="2"/>
  <c r="X55" i="2" s="1"/>
  <c r="W56" i="2"/>
  <c r="X56" i="2" s="1"/>
  <c r="W57" i="2"/>
  <c r="X57" i="2" s="1"/>
  <c r="W58" i="2"/>
  <c r="X58" i="2" s="1"/>
  <c r="W59" i="2"/>
  <c r="X59" i="2" s="1"/>
  <c r="W60" i="2"/>
  <c r="X60" i="2" s="1"/>
  <c r="W61" i="2"/>
  <c r="X61" i="2" s="1"/>
  <c r="W62" i="2"/>
  <c r="X62" i="2" s="1"/>
  <c r="W63" i="2"/>
  <c r="X63" i="2" s="1"/>
  <c r="T2" i="2"/>
  <c r="U2" i="2" s="1"/>
  <c r="T14" i="2"/>
  <c r="U14" i="2" s="1"/>
  <c r="T13" i="2"/>
  <c r="U13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45" i="2"/>
  <c r="U45" i="2" s="1"/>
  <c r="T44" i="2"/>
  <c r="U44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Q2" i="2"/>
  <c r="R2" i="2" s="1"/>
  <c r="Q14" i="2"/>
  <c r="R14" i="2" s="1"/>
  <c r="Q13" i="2"/>
  <c r="R13" i="2" s="1"/>
  <c r="Q15" i="2"/>
  <c r="R15" i="2" s="1"/>
  <c r="Q16" i="2"/>
  <c r="R16" i="2" s="1"/>
  <c r="Q17" i="2"/>
  <c r="R17" i="2" s="1"/>
  <c r="Q18" i="2"/>
  <c r="R18" i="2" s="1"/>
  <c r="Q19" i="2"/>
  <c r="R19" i="2" s="1"/>
  <c r="Q20" i="2"/>
  <c r="R20" i="2" s="1"/>
  <c r="Q21" i="2"/>
  <c r="R21" i="2" s="1"/>
  <c r="Q22" i="2"/>
  <c r="R22" i="2" s="1"/>
  <c r="Q23" i="2"/>
  <c r="R23" i="2" s="1"/>
  <c r="Q24" i="2"/>
  <c r="R24" i="2" s="1"/>
  <c r="Q25" i="2"/>
  <c r="R25" i="2" s="1"/>
  <c r="Q26" i="2"/>
  <c r="R26" i="2" s="1"/>
  <c r="Q27" i="2"/>
  <c r="R27" i="2" s="1"/>
  <c r="Q28" i="2"/>
  <c r="R28" i="2" s="1"/>
  <c r="Q29" i="2"/>
  <c r="R29" i="2" s="1"/>
  <c r="Q30" i="2"/>
  <c r="R30" i="2" s="1"/>
  <c r="Q31" i="2"/>
  <c r="R31" i="2" s="1"/>
  <c r="Q32" i="2"/>
  <c r="R32" i="2" s="1"/>
  <c r="Q45" i="2"/>
  <c r="R45" i="2" s="1"/>
  <c r="Q44" i="2"/>
  <c r="R44" i="2" s="1"/>
  <c r="Q46" i="2"/>
  <c r="R46" i="2" s="1"/>
  <c r="Q47" i="2"/>
  <c r="R47" i="2" s="1"/>
  <c r="Q48" i="2"/>
  <c r="R48" i="2" s="1"/>
  <c r="Q49" i="2"/>
  <c r="R49" i="2" s="1"/>
  <c r="Q50" i="2"/>
  <c r="R50" i="2" s="1"/>
  <c r="Q51" i="2"/>
  <c r="R51" i="2" s="1"/>
  <c r="Q52" i="2"/>
  <c r="R52" i="2" s="1"/>
  <c r="Q53" i="2"/>
  <c r="R53" i="2" s="1"/>
  <c r="Q54" i="2"/>
  <c r="R54" i="2" s="1"/>
  <c r="Q55" i="2"/>
  <c r="R55" i="2" s="1"/>
  <c r="Q56" i="2"/>
  <c r="R56" i="2" s="1"/>
  <c r="Q57" i="2"/>
  <c r="R57" i="2" s="1"/>
  <c r="Q58" i="2"/>
  <c r="R58" i="2" s="1"/>
  <c r="Q59" i="2"/>
  <c r="R59" i="2" s="1"/>
  <c r="Q60" i="2"/>
  <c r="R60" i="2" s="1"/>
  <c r="Q61" i="2"/>
  <c r="R61" i="2" s="1"/>
  <c r="Q62" i="2"/>
  <c r="R62" i="2" s="1"/>
  <c r="Q63" i="2"/>
  <c r="R63" i="2" s="1"/>
</calcChain>
</file>

<file path=xl/sharedStrings.xml><?xml version="1.0" encoding="utf-8"?>
<sst xmlns="http://schemas.openxmlformats.org/spreadsheetml/2006/main" count="1455" uniqueCount="105">
  <si>
    <t>Auteur</t>
  </si>
  <si>
    <t>Regio</t>
  </si>
  <si>
    <t>Onderzoeksjaren</t>
  </si>
  <si>
    <t>Smit</t>
  </si>
  <si>
    <t>Borlée</t>
  </si>
  <si>
    <t>Huijskens</t>
  </si>
  <si>
    <t>Hooiveld</t>
  </si>
  <si>
    <t>Freidl</t>
  </si>
  <si>
    <t>Beninca</t>
  </si>
  <si>
    <t>Kalkowska</t>
  </si>
  <si>
    <t>Klous</t>
  </si>
  <si>
    <t>Post</t>
  </si>
  <si>
    <t>Baliatsas</t>
  </si>
  <si>
    <t>Lotterman</t>
  </si>
  <si>
    <t>Yzermans</t>
  </si>
  <si>
    <t>2008-2009</t>
  </si>
  <si>
    <t>2014-2015</t>
  </si>
  <si>
    <t>VGO</t>
  </si>
  <si>
    <t>I &amp; II</t>
  </si>
  <si>
    <t>III</t>
  </si>
  <si>
    <t>2012-2014</t>
  </si>
  <si>
    <t>2009-2013</t>
  </si>
  <si>
    <t>2011-2014</t>
  </si>
  <si>
    <t>2014-2016</t>
  </si>
  <si>
    <t>2014-2017</t>
  </si>
  <si>
    <t>Patienten</t>
  </si>
  <si>
    <t>Huisartsenpraktijken</t>
  </si>
  <si>
    <t>Methode</t>
  </si>
  <si>
    <t>Meervoudige logistische regressie</t>
  </si>
  <si>
    <t>Afstand</t>
  </si>
  <si>
    <t>Metriek</t>
  </si>
  <si>
    <t>Odds-ratio</t>
  </si>
  <si>
    <t>Schatting</t>
  </si>
  <si>
    <t>Laag</t>
  </si>
  <si>
    <t>Hoog</t>
  </si>
  <si>
    <t>Multilevel logistische regressie</t>
  </si>
  <si>
    <t>Meta-analyse</t>
  </si>
  <si>
    <t>Publicatiejaar</t>
  </si>
  <si>
    <t>Analysejaar</t>
  </si>
  <si>
    <t>Controlegroep</t>
  </si>
  <si>
    <t>NBL</t>
  </si>
  <si>
    <t>Geen longontsteking</t>
  </si>
  <si>
    <t>Leeftijd</t>
  </si>
  <si>
    <t>NB</t>
  </si>
  <si>
    <t>Vee-arm gebied</t>
  </si>
  <si>
    <t xml:space="preserve">Betrouwbaarheidsinterval </t>
  </si>
  <si>
    <t>UGO</t>
  </si>
  <si>
    <t>UGO &amp; NBL</t>
  </si>
  <si>
    <t>Aanwezigheid geiten</t>
  </si>
  <si>
    <t>Aantal geiten per 1171</t>
  </si>
  <si>
    <t>Bijzonderheden</t>
  </si>
  <si>
    <t>prevalentie longontsteking in de hoog blootgestelde regio</t>
  </si>
  <si>
    <t>aantal megastallen met geiten (N=6) en longontsteking</t>
  </si>
  <si>
    <t>voor 2251-7250 geiten in vergelijking met 0-2250 geiten</t>
  </si>
  <si>
    <t>Analysemaand</t>
  </si>
  <si>
    <t>IRR</t>
  </si>
  <si>
    <t>2014-2019</t>
  </si>
  <si>
    <t>1.36</t>
  </si>
  <si>
    <t>1.57</t>
  </si>
  <si>
    <t>1.51</t>
  </si>
  <si>
    <t>1.24</t>
  </si>
  <si>
    <t>1.49</t>
  </si>
  <si>
    <t>1.28</t>
  </si>
  <si>
    <t>1.52</t>
  </si>
  <si>
    <t>1.45</t>
  </si>
  <si>
    <t>1.32</t>
  </si>
  <si>
    <t>1.41</t>
  </si>
  <si>
    <t>0.64</t>
  </si>
  <si>
    <t>0.86</t>
  </si>
  <si>
    <t>1.68</t>
  </si>
  <si>
    <t>1.14</t>
  </si>
  <si>
    <t>0.67</t>
  </si>
  <si>
    <t>1.75</t>
  </si>
  <si>
    <t>2.67</t>
  </si>
  <si>
    <t>2.52</t>
  </si>
  <si>
    <t>1.63</t>
  </si>
  <si>
    <t>0.76</t>
  </si>
  <si>
    <t>1.46</t>
  </si>
  <si>
    <t>Multilevel Poisson regressie</t>
  </si>
  <si>
    <t>Jan</t>
  </si>
  <si>
    <t>Feb</t>
  </si>
  <si>
    <t>Mar</t>
  </si>
  <si>
    <t>Apr</t>
  </si>
  <si>
    <t>Mei</t>
  </si>
  <si>
    <t>Jun</t>
  </si>
  <si>
    <t>Jul</t>
  </si>
  <si>
    <t>Aug</t>
  </si>
  <si>
    <t>Sep</t>
  </si>
  <si>
    <t>Okt</t>
  </si>
  <si>
    <t>Nov</t>
  </si>
  <si>
    <t>Dec</t>
  </si>
  <si>
    <t>Significant</t>
  </si>
  <si>
    <t>Ja</t>
  </si>
  <si>
    <t>Nee</t>
  </si>
  <si>
    <t>Totaal</t>
  </si>
  <si>
    <t>Verwacht_longontsteking</t>
  </si>
  <si>
    <t>OR</t>
  </si>
  <si>
    <t>Geschat_longontsteking</t>
  </si>
  <si>
    <t>OR_Laag</t>
  </si>
  <si>
    <t>OR_Hoog</t>
  </si>
  <si>
    <t>Geschat_longontsteking_laag</t>
  </si>
  <si>
    <t>Geschat_longontsteking_hoog</t>
  </si>
  <si>
    <t>Extra_longontsteking</t>
  </si>
  <si>
    <t>Extra_longontsteking_laag</t>
  </si>
  <si>
    <t>Extra_longontsteking_hoog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</si>
</sst>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</cellXfs>
  <cellStyles count="1">
    <cellStyle name="Normal" xfId="0" builtinId="0"/>
  </cellStyles>
  <dxfs count="28">
    <dxf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51E4D3-DA71-4C5A-AD75-001D8224C928}" name="Table1" displayName="Table1" ref="A1:Z63" totalsRowShown="0" headerRowDxfId="27" dataDxfId="26">
  <autoFilter ref="A1:Z63" xr:uid="{B251E4D3-DA71-4C5A-AD75-001D8224C928}"/>
  <sortState xmlns:xlrd2="http://schemas.microsoft.com/office/spreadsheetml/2017/richdata2" ref="A2:Z63">
    <sortCondition ref="J1:J63"/>
  </sortState>
  <tableColumns count="26">
    <tableColumn id="1" xr3:uid="{88E5EEB6-116F-4657-821C-B68F95F3BF18}" name="Auteur" dataDxfId="25"/>
    <tableColumn id="2" xr3:uid="{A2A2CA25-2171-498D-9CA4-489BAA8AEC2A}" name="Publicatiejaar" dataDxfId="24"/>
    <tableColumn id="3" xr3:uid="{F88285EB-6896-4AE2-8773-4FAF39DD554A}" name="VGO" dataDxfId="23"/>
    <tableColumn id="4" xr3:uid="{E16252E1-8D34-48AF-900B-2F681E38BB25}" name="Onderzoeksjaren" dataDxfId="22"/>
    <tableColumn id="5" xr3:uid="{C39E560E-F6C2-4FD6-838F-DED99D562B63}" name="Patienten" dataDxfId="21"/>
    <tableColumn id="6" xr3:uid="{223A730E-177D-44C7-9375-D4D2FC59BD59}" name="Huisartsenpraktijken" dataDxfId="20"/>
    <tableColumn id="7" xr3:uid="{A1926E13-91D7-44A7-9605-DE13BC898B33}" name="Regio" dataDxfId="19"/>
    <tableColumn id="8" xr3:uid="{2292E5F8-408C-49A6-ABA3-E18695B807C5}" name="Controlegroep" dataDxfId="18"/>
    <tableColumn id="9" xr3:uid="{90A55801-4DDE-44F8-802E-41DDE4B7C4DC}" name="Methode" dataDxfId="17"/>
    <tableColumn id="10" xr3:uid="{EB5DC07E-CF15-46B9-A394-59F26345D392}" name="Afstand" dataDxfId="16"/>
    <tableColumn id="11" xr3:uid="{2C510F6D-FEEA-49C1-BD5F-8251A46A041E}" name="Analysejaar" dataDxfId="15"/>
    <tableColumn id="12" xr3:uid="{A2F11DAF-255A-49EF-8F65-B276411A04BE}" name="Analysemaand" dataDxfId="14"/>
    <tableColumn id="13" xr3:uid="{76D0B634-6403-4009-917F-FAF187C1DF66}" name="Metriek" dataDxfId="13"/>
    <tableColumn id="20" xr3:uid="{58DD058C-CF86-4CE7-8795-D0EC70EBAF7E}" name="Totaal" dataDxfId="12"/>
    <tableColumn id="21" xr3:uid="{34A2157E-8914-4145-97CC-BF14CB570349}" name="Verwacht_longontsteking" dataDxfId="11"/>
    <tableColumn id="15" xr3:uid="{B786BAF6-C9F4-498D-8783-12D2115B5DB5}" name="OR" dataDxfId="10"/>
    <tableColumn id="22" xr3:uid="{B485B10A-6104-4EA6-B472-191FDD95E29C}" name="Geschat_longontsteking" dataDxfId="9">
      <calculatedColumnFormula>Table1[[#This Row],[Verwacht_longontsteking]]*Table1[[#This Row],[OR]]</calculatedColumnFormula>
    </tableColumn>
    <tableColumn id="25" xr3:uid="{F40E6FF0-4A3C-4723-978E-02F56AF2C34D}" name="Extra_longontsteking" dataDxfId="8">
      <calculatedColumnFormula>Table1[[#This Row],[Geschat_longontsteking]]-Table1[[#This Row],[Verwacht_longontsteking]]</calculatedColumnFormula>
    </tableColumn>
    <tableColumn id="16" xr3:uid="{E3BC22AE-E56E-4D87-9B16-A47A61E60D42}" name="OR_Laag" dataDxfId="7"/>
    <tableColumn id="23" xr3:uid="{E7F024F9-F583-412E-878E-0672FFA8BF76}" name="Geschat_longontsteking_laag" dataDxfId="6">
      <calculatedColumnFormula>Table1[[#This Row],[Verwacht_longontsteking]]*S2</calculatedColumnFormula>
    </tableColumn>
    <tableColumn id="26" xr3:uid="{2F9B216F-0D2B-4877-9C05-3411547A99F5}" name="Extra_longontsteking_laag" dataDxfId="5">
      <calculatedColumnFormula>Table1[[#This Row],[Geschat_longontsteking_laag]]-Table1[[#This Row],[Verwacht_longontsteking]]</calculatedColumnFormula>
    </tableColumn>
    <tableColumn id="17" xr3:uid="{507D58B6-7910-455A-8E6E-39B121B227E3}" name="OR_Hoog" dataDxfId="4"/>
    <tableColumn id="24" xr3:uid="{CD4AD449-71D0-48AC-8504-D04127492BAF}" name="Geschat_longontsteking_hoog" dataDxfId="3">
      <calculatedColumnFormula>Table1[[#This Row],[Verwacht_longontsteking]]*V2</calculatedColumnFormula>
    </tableColumn>
    <tableColumn id="27" xr3:uid="{69AA42AE-6E2F-4591-83AC-6CD43F8A3BF6}" name="Extra_longontsteking_hoog" dataDxfId="2">
      <calculatedColumnFormula>Table1[[#This Row],[Geschat_longontsteking_hoog]]-Table1[[#This Row],[Verwacht_longontsteking]]</calculatedColumnFormula>
    </tableColumn>
    <tableColumn id="18" xr3:uid="{923F4195-8BE3-40C9-A14C-E35CBDF53D26}" name="Betrouwbaarheidsinterval " dataDxfId="1"/>
    <tableColumn id="19" xr3:uid="{AFED5905-3A9C-4142-BC20-C994C47FC6BD}" name="Significa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A062-2371-42C7-9960-6D188BFBC7A3}">
  <dimension ref="A1:S90"/>
  <sheetViews>
    <sheetView topLeftCell="F1" zoomScaleNormal="100" workbookViewId="0">
      <selection activeCell="O6" sqref="O6:Q6"/>
    </sheetView>
  </sheetViews>
  <sheetFormatPr defaultColWidth="9.140625" defaultRowHeight="15" x14ac:dyDescent="0.25"/>
  <cols>
    <col min="1" max="1" width="15.28515625" style="1" customWidth="1"/>
    <col min="2" max="2" width="14.42578125" style="1" customWidth="1"/>
    <col min="3" max="3" width="9.140625" style="1"/>
    <col min="4" max="5" width="16.7109375" style="1" customWidth="1"/>
    <col min="6" max="6" width="21" style="1" customWidth="1"/>
    <col min="7" max="7" width="12.28515625" style="1" customWidth="1"/>
    <col min="8" max="8" width="20.7109375" style="1" customWidth="1"/>
    <col min="9" max="9" width="38.42578125" style="1" customWidth="1"/>
    <col min="10" max="10" width="11.7109375" style="1" customWidth="1"/>
    <col min="11" max="12" width="14.140625" style="1" customWidth="1"/>
    <col min="13" max="13" width="13.5703125" style="1" customWidth="1"/>
    <col min="14" max="14" width="22.85546875" style="1" customWidth="1"/>
    <col min="15" max="15" width="17.5703125" style="1" customWidth="1"/>
    <col min="16" max="17" width="9.140625" style="1"/>
    <col min="18" max="18" width="23.28515625" style="1" customWidth="1"/>
    <col min="19" max="16384" width="9.140625" style="1"/>
  </cols>
  <sheetData>
    <row r="1" spans="1:19" x14ac:dyDescent="0.25">
      <c r="A1" s="1" t="s">
        <v>0</v>
      </c>
      <c r="B1" s="1" t="s">
        <v>37</v>
      </c>
      <c r="C1" s="1" t="s">
        <v>17</v>
      </c>
      <c r="D1" s="1" t="s">
        <v>2</v>
      </c>
      <c r="E1" s="1" t="s">
        <v>25</v>
      </c>
      <c r="F1" s="1" t="s">
        <v>26</v>
      </c>
      <c r="G1" s="1" t="s">
        <v>1</v>
      </c>
      <c r="H1" s="1" t="s">
        <v>39</v>
      </c>
      <c r="I1" s="1" t="s">
        <v>27</v>
      </c>
      <c r="J1" s="1" t="s">
        <v>29</v>
      </c>
      <c r="K1" s="1" t="s">
        <v>38</v>
      </c>
      <c r="L1" s="1" t="s">
        <v>54</v>
      </c>
      <c r="M1" s="1" t="s">
        <v>30</v>
      </c>
      <c r="N1" s="1" t="s">
        <v>50</v>
      </c>
      <c r="O1" s="1" t="s">
        <v>32</v>
      </c>
      <c r="P1" s="1" t="s">
        <v>33</v>
      </c>
      <c r="Q1" s="1" t="s">
        <v>34</v>
      </c>
      <c r="R1" s="1" t="s">
        <v>45</v>
      </c>
      <c r="S1" s="1" t="s">
        <v>91</v>
      </c>
    </row>
    <row r="2" spans="1:19" x14ac:dyDescent="0.25">
      <c r="A2" s="1" t="s">
        <v>3</v>
      </c>
      <c r="B2" s="1">
        <v>2012</v>
      </c>
      <c r="C2" s="1" t="s">
        <v>18</v>
      </c>
      <c r="D2" s="1">
        <v>2009</v>
      </c>
      <c r="E2" s="1">
        <v>92548</v>
      </c>
      <c r="F2" s="1">
        <v>27</v>
      </c>
      <c r="G2" s="1" t="s">
        <v>40</v>
      </c>
      <c r="H2" s="1" t="s">
        <v>41</v>
      </c>
      <c r="I2" s="1" t="s">
        <v>28</v>
      </c>
      <c r="J2" s="1">
        <v>5000</v>
      </c>
      <c r="K2" s="1">
        <v>2009</v>
      </c>
      <c r="M2" s="1" t="s">
        <v>31</v>
      </c>
      <c r="N2" s="1" t="s">
        <v>53</v>
      </c>
      <c r="O2" s="1">
        <v>1.45</v>
      </c>
      <c r="P2" s="1">
        <v>1.2</v>
      </c>
      <c r="Q2" s="1">
        <v>1.76</v>
      </c>
      <c r="R2" s="2">
        <v>0.95</v>
      </c>
      <c r="S2" s="1" t="s">
        <v>92</v>
      </c>
    </row>
    <row r="3" spans="1:19" x14ac:dyDescent="0.25">
      <c r="A3" s="1" t="s">
        <v>4</v>
      </c>
      <c r="B3" s="1">
        <v>2015</v>
      </c>
      <c r="C3" s="1" t="s">
        <v>18</v>
      </c>
      <c r="D3" s="1">
        <v>2012</v>
      </c>
      <c r="E3" s="1">
        <v>12117</v>
      </c>
      <c r="F3" s="1">
        <v>21</v>
      </c>
      <c r="G3" s="1" t="s">
        <v>40</v>
      </c>
      <c r="H3" s="1" t="s">
        <v>41</v>
      </c>
      <c r="I3" s="1" t="s">
        <v>28</v>
      </c>
      <c r="J3" s="1">
        <v>500</v>
      </c>
      <c r="K3" s="1">
        <v>2012</v>
      </c>
      <c r="M3" s="1" t="s">
        <v>31</v>
      </c>
      <c r="O3" s="1">
        <v>1.1599999999999999</v>
      </c>
      <c r="P3" s="1">
        <v>0.94</v>
      </c>
      <c r="Q3" s="1">
        <v>1.44</v>
      </c>
      <c r="R3" s="2">
        <v>0.95</v>
      </c>
      <c r="S3" s="1" t="s">
        <v>93</v>
      </c>
    </row>
    <row r="4" spans="1:19" x14ac:dyDescent="0.25">
      <c r="A4" s="1" t="s">
        <v>4</v>
      </c>
      <c r="B4" s="1">
        <v>2015</v>
      </c>
      <c r="C4" s="1" t="s">
        <v>18</v>
      </c>
      <c r="D4" s="1">
        <v>2012</v>
      </c>
      <c r="E4" s="1">
        <v>12117</v>
      </c>
      <c r="F4" s="1">
        <v>21</v>
      </c>
      <c r="G4" s="1" t="s">
        <v>40</v>
      </c>
      <c r="H4" s="1" t="s">
        <v>41</v>
      </c>
      <c r="I4" s="1" t="s">
        <v>28</v>
      </c>
      <c r="J4" s="1">
        <v>1000</v>
      </c>
      <c r="K4" s="1">
        <v>2012</v>
      </c>
      <c r="M4" s="1" t="s">
        <v>31</v>
      </c>
      <c r="O4" s="1">
        <v>1.23</v>
      </c>
      <c r="P4" s="1">
        <v>1.1200000000000001</v>
      </c>
      <c r="Q4" s="1">
        <v>1.34</v>
      </c>
      <c r="R4" s="2">
        <v>0.95</v>
      </c>
      <c r="S4" s="1" t="s">
        <v>92</v>
      </c>
    </row>
    <row r="5" spans="1:19" x14ac:dyDescent="0.25">
      <c r="A5" s="1" t="s">
        <v>5</v>
      </c>
      <c r="B5" s="1">
        <v>2016</v>
      </c>
      <c r="C5" s="1" t="s">
        <v>18</v>
      </c>
      <c r="D5" s="1" t="s">
        <v>15</v>
      </c>
      <c r="E5" s="1">
        <v>1504</v>
      </c>
      <c r="G5" s="1" t="s">
        <v>43</v>
      </c>
      <c r="H5" s="1" t="s">
        <v>42</v>
      </c>
      <c r="I5" s="1" t="s">
        <v>28</v>
      </c>
      <c r="J5" s="1">
        <v>1000</v>
      </c>
      <c r="K5" s="1" t="s">
        <v>15</v>
      </c>
      <c r="M5" s="1" t="s">
        <v>31</v>
      </c>
      <c r="N5" s="1" t="s">
        <v>48</v>
      </c>
      <c r="O5" s="1">
        <v>0.79</v>
      </c>
      <c r="P5" s="1">
        <v>0.34</v>
      </c>
      <c r="Q5" s="1">
        <v>1.86</v>
      </c>
      <c r="R5" s="2">
        <v>0.95</v>
      </c>
      <c r="S5" s="1" t="s">
        <v>93</v>
      </c>
    </row>
    <row r="6" spans="1:19" x14ac:dyDescent="0.25">
      <c r="A6" s="1" t="s">
        <v>5</v>
      </c>
      <c r="B6" s="1">
        <v>2016</v>
      </c>
      <c r="C6" s="1" t="s">
        <v>18</v>
      </c>
      <c r="D6" s="1" t="s">
        <v>15</v>
      </c>
      <c r="E6" s="1">
        <v>1504</v>
      </c>
      <c r="G6" s="1" t="s">
        <v>43</v>
      </c>
      <c r="H6" s="1" t="s">
        <v>42</v>
      </c>
      <c r="I6" s="1" t="s">
        <v>28</v>
      </c>
      <c r="J6" s="1">
        <v>1000</v>
      </c>
      <c r="K6" s="1" t="s">
        <v>15</v>
      </c>
      <c r="M6" s="1" t="s">
        <v>31</v>
      </c>
      <c r="N6" s="1" t="s">
        <v>49</v>
      </c>
      <c r="O6" s="1">
        <v>1.79</v>
      </c>
      <c r="P6" s="1">
        <v>1.03</v>
      </c>
      <c r="Q6" s="1">
        <v>3.12</v>
      </c>
      <c r="R6" s="2">
        <v>0.95</v>
      </c>
      <c r="S6" s="1" t="s">
        <v>92</v>
      </c>
    </row>
    <row r="7" spans="1:19" x14ac:dyDescent="0.25">
      <c r="A7" s="1" t="s">
        <v>6</v>
      </c>
      <c r="B7" s="1">
        <v>2016</v>
      </c>
      <c r="C7" s="1" t="s">
        <v>18</v>
      </c>
      <c r="D7" s="1">
        <v>2009</v>
      </c>
      <c r="E7" s="1">
        <v>197096</v>
      </c>
      <c r="F7" s="1">
        <v>50</v>
      </c>
      <c r="G7" s="1" t="s">
        <v>40</v>
      </c>
      <c r="H7" s="1" t="s">
        <v>44</v>
      </c>
      <c r="I7" s="1" t="s">
        <v>35</v>
      </c>
      <c r="K7" s="1">
        <v>2009</v>
      </c>
      <c r="M7" s="1" t="s">
        <v>31</v>
      </c>
      <c r="N7" s="1" t="s">
        <v>51</v>
      </c>
      <c r="O7" s="1">
        <v>1.42</v>
      </c>
      <c r="P7" s="1">
        <v>1.1200000000000001</v>
      </c>
      <c r="Q7" s="1">
        <v>1.82</v>
      </c>
      <c r="R7" s="2">
        <v>0.95</v>
      </c>
      <c r="S7" s="1" t="s">
        <v>92</v>
      </c>
    </row>
    <row r="8" spans="1:19" x14ac:dyDescent="0.25">
      <c r="A8" s="1" t="s">
        <v>6</v>
      </c>
      <c r="B8" s="1">
        <v>2016</v>
      </c>
      <c r="C8" s="1" t="s">
        <v>18</v>
      </c>
      <c r="D8" s="1">
        <v>2009</v>
      </c>
      <c r="E8" s="1">
        <v>197096</v>
      </c>
      <c r="G8" s="1" t="s">
        <v>40</v>
      </c>
      <c r="H8" s="1" t="s">
        <v>44</v>
      </c>
      <c r="I8" s="1" t="s">
        <v>35</v>
      </c>
      <c r="K8" s="1">
        <v>2009</v>
      </c>
      <c r="M8" s="1" t="s">
        <v>31</v>
      </c>
      <c r="N8" s="1" t="s">
        <v>52</v>
      </c>
      <c r="O8" s="1">
        <v>1.41</v>
      </c>
      <c r="P8" s="1">
        <v>1.08</v>
      </c>
      <c r="Q8" s="1">
        <v>1.84</v>
      </c>
      <c r="R8" s="2">
        <v>0.95</v>
      </c>
      <c r="S8" s="1" t="s">
        <v>92</v>
      </c>
    </row>
    <row r="9" spans="1:19" x14ac:dyDescent="0.25">
      <c r="A9" s="1" t="s">
        <v>7</v>
      </c>
      <c r="B9" s="1">
        <v>2017</v>
      </c>
      <c r="C9" s="1" t="s">
        <v>18</v>
      </c>
      <c r="D9" s="1" t="s">
        <v>16</v>
      </c>
      <c r="E9" s="1">
        <v>2426</v>
      </c>
      <c r="G9" s="1" t="s">
        <v>40</v>
      </c>
      <c r="H9" s="1" t="s">
        <v>41</v>
      </c>
      <c r="I9" s="1" t="s">
        <v>28</v>
      </c>
      <c r="J9" s="1">
        <v>500</v>
      </c>
      <c r="K9" s="1" t="s">
        <v>16</v>
      </c>
      <c r="M9" s="1" t="s">
        <v>31</v>
      </c>
      <c r="O9" s="1">
        <v>4.4000000000000004</v>
      </c>
      <c r="P9" s="1">
        <v>2</v>
      </c>
      <c r="Q9" s="1">
        <v>9.8000000000000007</v>
      </c>
      <c r="R9" s="2">
        <v>0.95</v>
      </c>
      <c r="S9" s="1" t="s">
        <v>92</v>
      </c>
    </row>
    <row r="10" spans="1:19" x14ac:dyDescent="0.25">
      <c r="A10" s="1" t="s">
        <v>7</v>
      </c>
      <c r="B10" s="1">
        <v>2017</v>
      </c>
      <c r="C10" s="1" t="s">
        <v>18</v>
      </c>
      <c r="D10" s="1" t="s">
        <v>16</v>
      </c>
      <c r="E10" s="1">
        <v>2426</v>
      </c>
      <c r="G10" s="1" t="s">
        <v>40</v>
      </c>
      <c r="H10" s="1" t="s">
        <v>41</v>
      </c>
      <c r="I10" s="1" t="s">
        <v>28</v>
      </c>
      <c r="J10" s="1">
        <v>1000</v>
      </c>
      <c r="K10" s="1" t="s">
        <v>16</v>
      </c>
      <c r="M10" s="1" t="s">
        <v>31</v>
      </c>
      <c r="O10" s="1">
        <v>2</v>
      </c>
      <c r="P10" s="1">
        <v>1.3</v>
      </c>
      <c r="Q10" s="1">
        <v>3.1</v>
      </c>
      <c r="R10" s="2">
        <v>0.95</v>
      </c>
      <c r="S10" s="1" t="s">
        <v>92</v>
      </c>
    </row>
    <row r="11" spans="1:19" x14ac:dyDescent="0.25">
      <c r="A11" s="1" t="s">
        <v>7</v>
      </c>
      <c r="B11" s="1">
        <v>2017</v>
      </c>
      <c r="C11" s="1" t="s">
        <v>18</v>
      </c>
      <c r="D11" s="1" t="s">
        <v>16</v>
      </c>
      <c r="E11" s="1">
        <v>2426</v>
      </c>
      <c r="G11" s="1" t="s">
        <v>40</v>
      </c>
      <c r="H11" s="1" t="s">
        <v>41</v>
      </c>
      <c r="I11" s="1" t="s">
        <v>28</v>
      </c>
      <c r="J11" s="1">
        <v>1500</v>
      </c>
      <c r="K11" s="1" t="s">
        <v>16</v>
      </c>
      <c r="M11" s="1" t="s">
        <v>31</v>
      </c>
      <c r="O11" s="1">
        <v>1.9</v>
      </c>
      <c r="P11" s="1">
        <v>1.4</v>
      </c>
      <c r="Q11" s="1">
        <v>2.7</v>
      </c>
      <c r="R11" s="2">
        <v>0.95</v>
      </c>
      <c r="S11" s="1" t="s">
        <v>92</v>
      </c>
    </row>
    <row r="12" spans="1:19" x14ac:dyDescent="0.25">
      <c r="A12" s="1" t="s">
        <v>7</v>
      </c>
      <c r="B12" s="1">
        <v>2017</v>
      </c>
      <c r="C12" s="1" t="s">
        <v>18</v>
      </c>
      <c r="D12" s="1" t="s">
        <v>16</v>
      </c>
      <c r="E12" s="1">
        <v>2426</v>
      </c>
      <c r="G12" s="1" t="s">
        <v>40</v>
      </c>
      <c r="H12" s="1" t="s">
        <v>41</v>
      </c>
      <c r="I12" s="1" t="s">
        <v>28</v>
      </c>
      <c r="J12" s="1">
        <v>2000</v>
      </c>
      <c r="K12" s="1" t="s">
        <v>16</v>
      </c>
      <c r="M12" s="1" t="s">
        <v>31</v>
      </c>
      <c r="O12" s="1">
        <v>1.9</v>
      </c>
      <c r="P12" s="1">
        <v>1.4</v>
      </c>
      <c r="Q12" s="1">
        <v>2.6</v>
      </c>
      <c r="R12" s="2">
        <v>0.95</v>
      </c>
      <c r="S12" s="1" t="s">
        <v>92</v>
      </c>
    </row>
    <row r="13" spans="1:19" x14ac:dyDescent="0.25">
      <c r="A13" s="1" t="s">
        <v>8</v>
      </c>
      <c r="B13" s="1">
        <v>2017</v>
      </c>
      <c r="C13" s="1" t="s">
        <v>18</v>
      </c>
      <c r="D13" s="1" t="s">
        <v>20</v>
      </c>
      <c r="E13" s="1">
        <v>115036</v>
      </c>
      <c r="K13" s="1" t="s">
        <v>20</v>
      </c>
      <c r="M13" s="1" t="s">
        <v>31</v>
      </c>
      <c r="R13" s="2"/>
    </row>
    <row r="14" spans="1:19" x14ac:dyDescent="0.25">
      <c r="A14" s="1" t="s">
        <v>9</v>
      </c>
      <c r="B14" s="1">
        <v>2018</v>
      </c>
      <c r="C14" s="1" t="s">
        <v>18</v>
      </c>
      <c r="D14" s="1" t="s">
        <v>21</v>
      </c>
      <c r="E14" s="1">
        <v>140159</v>
      </c>
      <c r="F14" s="1">
        <v>32</v>
      </c>
      <c r="K14" s="1" t="s">
        <v>21</v>
      </c>
      <c r="M14" s="1" t="s">
        <v>31</v>
      </c>
      <c r="R14" s="2"/>
    </row>
    <row r="15" spans="1:19" x14ac:dyDescent="0.25">
      <c r="A15" s="1" t="s">
        <v>10</v>
      </c>
      <c r="B15" s="1">
        <v>2018</v>
      </c>
      <c r="C15" s="1" t="s">
        <v>18</v>
      </c>
      <c r="D15" s="1" t="s">
        <v>22</v>
      </c>
      <c r="E15" s="1">
        <v>941</v>
      </c>
      <c r="G15" s="1" t="s">
        <v>40</v>
      </c>
      <c r="H15" s="1" t="s">
        <v>41</v>
      </c>
      <c r="I15" s="1" t="s">
        <v>28</v>
      </c>
      <c r="J15" s="1">
        <v>500</v>
      </c>
      <c r="K15" s="1" t="s">
        <v>22</v>
      </c>
      <c r="M15" s="1" t="s">
        <v>31</v>
      </c>
      <c r="O15" s="1">
        <v>6.2</v>
      </c>
      <c r="P15" s="1">
        <v>2.2000000000000002</v>
      </c>
      <c r="Q15" s="1">
        <v>16.5</v>
      </c>
      <c r="R15" s="2">
        <v>0.95</v>
      </c>
      <c r="S15" s="1" t="s">
        <v>92</v>
      </c>
    </row>
    <row r="16" spans="1:19" x14ac:dyDescent="0.25">
      <c r="A16" s="1" t="s">
        <v>10</v>
      </c>
      <c r="B16" s="1">
        <v>2018</v>
      </c>
      <c r="C16" s="1" t="s">
        <v>18</v>
      </c>
      <c r="D16" s="1" t="s">
        <v>22</v>
      </c>
      <c r="E16" s="1">
        <v>941</v>
      </c>
      <c r="G16" s="1" t="s">
        <v>40</v>
      </c>
      <c r="H16" s="1" t="s">
        <v>41</v>
      </c>
      <c r="I16" s="1" t="s">
        <v>28</v>
      </c>
      <c r="J16" s="1">
        <v>1000</v>
      </c>
      <c r="K16" s="1" t="s">
        <v>22</v>
      </c>
      <c r="M16" s="1" t="s">
        <v>31</v>
      </c>
      <c r="O16" s="1">
        <v>2.5</v>
      </c>
      <c r="P16" s="1">
        <v>1.4</v>
      </c>
      <c r="Q16" s="1">
        <v>4.3</v>
      </c>
      <c r="R16" s="2">
        <v>0.95</v>
      </c>
      <c r="S16" s="1" t="s">
        <v>92</v>
      </c>
    </row>
    <row r="17" spans="1:19" x14ac:dyDescent="0.25">
      <c r="A17" s="1" t="s">
        <v>4</v>
      </c>
      <c r="B17" s="1">
        <v>2019</v>
      </c>
      <c r="C17" s="1" t="s">
        <v>18</v>
      </c>
      <c r="D17" s="1" t="s">
        <v>16</v>
      </c>
      <c r="E17" s="1">
        <v>2457</v>
      </c>
      <c r="G17" s="1" t="s">
        <v>40</v>
      </c>
      <c r="H17" s="1" t="s">
        <v>41</v>
      </c>
      <c r="I17" s="1" t="s">
        <v>28</v>
      </c>
      <c r="J17" s="1">
        <v>1000</v>
      </c>
      <c r="K17" s="1" t="s">
        <v>16</v>
      </c>
      <c r="M17" s="1" t="s">
        <v>31</v>
      </c>
      <c r="O17" s="1">
        <v>1.78</v>
      </c>
      <c r="P17" s="1">
        <v>1.07</v>
      </c>
      <c r="Q17" s="1">
        <v>2.95</v>
      </c>
      <c r="R17" s="2">
        <v>0.95</v>
      </c>
      <c r="S17" s="1" t="s">
        <v>92</v>
      </c>
    </row>
    <row r="18" spans="1:19" x14ac:dyDescent="0.25">
      <c r="A18" s="1" t="s">
        <v>11</v>
      </c>
      <c r="B18" s="1">
        <v>2019</v>
      </c>
      <c r="C18" s="1" t="s">
        <v>19</v>
      </c>
      <c r="D18" s="1" t="s">
        <v>23</v>
      </c>
      <c r="E18" s="1">
        <v>90183</v>
      </c>
      <c r="F18" s="1">
        <v>23</v>
      </c>
      <c r="G18" s="1" t="s">
        <v>40</v>
      </c>
      <c r="H18" s="1" t="s">
        <v>44</v>
      </c>
      <c r="I18" s="1" t="s">
        <v>28</v>
      </c>
      <c r="J18" s="1">
        <v>500</v>
      </c>
      <c r="K18" s="1" t="s">
        <v>23</v>
      </c>
      <c r="M18" s="1" t="s">
        <v>31</v>
      </c>
      <c r="O18" s="1">
        <v>1.6</v>
      </c>
      <c r="P18" s="1">
        <v>1.25</v>
      </c>
      <c r="Q18" s="1">
        <v>2.0299999999999998</v>
      </c>
      <c r="R18" s="2">
        <v>0.95</v>
      </c>
      <c r="S18" s="1" t="s">
        <v>92</v>
      </c>
    </row>
    <row r="19" spans="1:19" x14ac:dyDescent="0.25">
      <c r="A19" s="1" t="s">
        <v>11</v>
      </c>
      <c r="B19" s="1">
        <v>2019</v>
      </c>
      <c r="C19" s="1" t="s">
        <v>19</v>
      </c>
      <c r="D19" s="1" t="s">
        <v>23</v>
      </c>
      <c r="E19" s="1">
        <v>90183</v>
      </c>
      <c r="F19" s="1">
        <v>23</v>
      </c>
      <c r="G19" s="1" t="s">
        <v>40</v>
      </c>
      <c r="H19" s="1" t="s">
        <v>44</v>
      </c>
      <c r="I19" s="1" t="s">
        <v>28</v>
      </c>
      <c r="J19" s="1">
        <v>1000</v>
      </c>
      <c r="K19" s="1" t="s">
        <v>23</v>
      </c>
      <c r="M19" s="1" t="s">
        <v>31</v>
      </c>
      <c r="O19" s="1">
        <v>1.36</v>
      </c>
      <c r="P19" s="1">
        <v>1.21</v>
      </c>
      <c r="Q19" s="1">
        <v>1.53</v>
      </c>
      <c r="R19" s="2">
        <v>0.95</v>
      </c>
      <c r="S19" s="1" t="s">
        <v>92</v>
      </c>
    </row>
    <row r="20" spans="1:19" x14ac:dyDescent="0.25">
      <c r="A20" s="1" t="s">
        <v>11</v>
      </c>
      <c r="B20" s="1">
        <v>2019</v>
      </c>
      <c r="C20" s="1" t="s">
        <v>19</v>
      </c>
      <c r="D20" s="1" t="s">
        <v>23</v>
      </c>
      <c r="E20" s="1">
        <v>90183</v>
      </c>
      <c r="F20" s="1">
        <v>23</v>
      </c>
      <c r="G20" s="1" t="s">
        <v>40</v>
      </c>
      <c r="H20" s="1" t="s">
        <v>44</v>
      </c>
      <c r="I20" s="1" t="s">
        <v>28</v>
      </c>
      <c r="J20" s="1">
        <v>1500</v>
      </c>
      <c r="K20" s="1" t="s">
        <v>23</v>
      </c>
      <c r="M20" s="1" t="s">
        <v>31</v>
      </c>
      <c r="O20" s="1">
        <v>1.25</v>
      </c>
      <c r="P20" s="1">
        <v>1.1399999999999999</v>
      </c>
      <c r="Q20" s="1">
        <v>1.37</v>
      </c>
      <c r="R20" s="2">
        <v>0.95</v>
      </c>
      <c r="S20" s="1" t="s">
        <v>92</v>
      </c>
    </row>
    <row r="21" spans="1:19" x14ac:dyDescent="0.25">
      <c r="A21" s="1" t="s">
        <v>11</v>
      </c>
      <c r="B21" s="1">
        <v>2019</v>
      </c>
      <c r="C21" s="1" t="s">
        <v>19</v>
      </c>
      <c r="D21" s="1" t="s">
        <v>23</v>
      </c>
      <c r="E21" s="1">
        <v>90183</v>
      </c>
      <c r="F21" s="1">
        <v>23</v>
      </c>
      <c r="G21" s="1" t="s">
        <v>40</v>
      </c>
      <c r="H21" s="1" t="s">
        <v>44</v>
      </c>
      <c r="I21" s="1" t="s">
        <v>28</v>
      </c>
      <c r="J21" s="1">
        <v>2000</v>
      </c>
      <c r="K21" s="1" t="s">
        <v>23</v>
      </c>
      <c r="M21" s="1" t="s">
        <v>31</v>
      </c>
      <c r="O21" s="1">
        <v>1.17</v>
      </c>
      <c r="P21" s="1">
        <v>1.0900000000000001</v>
      </c>
      <c r="Q21" s="1">
        <v>1.27</v>
      </c>
      <c r="R21" s="2">
        <v>0.95</v>
      </c>
      <c r="S21" s="1" t="s">
        <v>92</v>
      </c>
    </row>
    <row r="22" spans="1:19" x14ac:dyDescent="0.25">
      <c r="A22" s="1" t="s">
        <v>11</v>
      </c>
      <c r="B22" s="1">
        <v>2019</v>
      </c>
      <c r="C22" s="1" t="s">
        <v>19</v>
      </c>
      <c r="D22" s="1" t="s">
        <v>23</v>
      </c>
      <c r="E22" s="1">
        <v>90183</v>
      </c>
      <c r="F22" s="1">
        <v>23</v>
      </c>
      <c r="G22" s="1" t="s">
        <v>40</v>
      </c>
      <c r="H22" s="1" t="s">
        <v>44</v>
      </c>
      <c r="I22" s="1" t="s">
        <v>35</v>
      </c>
      <c r="J22" s="1">
        <v>500</v>
      </c>
      <c r="K22" s="1" t="s">
        <v>23</v>
      </c>
      <c r="M22" s="1" t="s">
        <v>31</v>
      </c>
      <c r="O22" s="1">
        <v>1.33</v>
      </c>
      <c r="P22" s="1">
        <v>1.03</v>
      </c>
      <c r="Q22" s="1">
        <v>1.17</v>
      </c>
      <c r="R22" s="2">
        <v>0.95</v>
      </c>
      <c r="S22" s="1" t="s">
        <v>92</v>
      </c>
    </row>
    <row r="23" spans="1:19" x14ac:dyDescent="0.25">
      <c r="A23" s="1" t="s">
        <v>11</v>
      </c>
      <c r="B23" s="1">
        <v>2019</v>
      </c>
      <c r="C23" s="1" t="s">
        <v>19</v>
      </c>
      <c r="D23" s="1" t="s">
        <v>23</v>
      </c>
      <c r="E23" s="1">
        <v>90183</v>
      </c>
      <c r="F23" s="1">
        <v>23</v>
      </c>
      <c r="G23" s="1" t="s">
        <v>40</v>
      </c>
      <c r="H23" s="1" t="s">
        <v>44</v>
      </c>
      <c r="I23" s="1" t="s">
        <v>35</v>
      </c>
      <c r="J23" s="1">
        <v>1000</v>
      </c>
      <c r="K23" s="1" t="s">
        <v>23</v>
      </c>
      <c r="M23" s="1" t="s">
        <v>31</v>
      </c>
      <c r="O23" s="1">
        <v>1.1100000000000001</v>
      </c>
      <c r="P23" s="1">
        <v>0.97</v>
      </c>
      <c r="Q23" s="1">
        <v>1.28</v>
      </c>
      <c r="R23" s="2">
        <v>0.95</v>
      </c>
      <c r="S23" s="1" t="s">
        <v>93</v>
      </c>
    </row>
    <row r="24" spans="1:19" x14ac:dyDescent="0.25">
      <c r="A24" s="1" t="s">
        <v>11</v>
      </c>
      <c r="B24" s="1">
        <v>2019</v>
      </c>
      <c r="C24" s="1" t="s">
        <v>19</v>
      </c>
      <c r="D24" s="1" t="s">
        <v>23</v>
      </c>
      <c r="E24" s="1">
        <v>90183</v>
      </c>
      <c r="F24" s="1">
        <v>23</v>
      </c>
      <c r="G24" s="1" t="s">
        <v>40</v>
      </c>
      <c r="H24" s="1" t="s">
        <v>44</v>
      </c>
      <c r="I24" s="1" t="s">
        <v>35</v>
      </c>
      <c r="J24" s="1">
        <v>1500</v>
      </c>
      <c r="K24" s="1" t="s">
        <v>23</v>
      </c>
      <c r="M24" s="1" t="s">
        <v>31</v>
      </c>
      <c r="O24" s="1">
        <v>1.08</v>
      </c>
      <c r="P24" s="1">
        <v>0.97</v>
      </c>
      <c r="Q24" s="1">
        <v>1.2</v>
      </c>
      <c r="R24" s="2">
        <v>0.95</v>
      </c>
      <c r="S24" s="1" t="s">
        <v>93</v>
      </c>
    </row>
    <row r="25" spans="1:19" x14ac:dyDescent="0.25">
      <c r="A25" s="1" t="s">
        <v>11</v>
      </c>
      <c r="B25" s="1">
        <v>2019</v>
      </c>
      <c r="C25" s="1" t="s">
        <v>19</v>
      </c>
      <c r="D25" s="1" t="s">
        <v>23</v>
      </c>
      <c r="E25" s="1">
        <v>90183</v>
      </c>
      <c r="F25" s="1">
        <v>23</v>
      </c>
      <c r="G25" s="1" t="s">
        <v>40</v>
      </c>
      <c r="H25" s="1" t="s">
        <v>44</v>
      </c>
      <c r="I25" s="1" t="s">
        <v>35</v>
      </c>
      <c r="J25" s="1">
        <v>2000</v>
      </c>
      <c r="K25" s="1" t="s">
        <v>23</v>
      </c>
      <c r="M25" s="1" t="s">
        <v>31</v>
      </c>
      <c r="O25" s="1">
        <v>1.07</v>
      </c>
      <c r="P25" s="1">
        <v>0.98</v>
      </c>
      <c r="Q25" s="1">
        <v>1.18</v>
      </c>
      <c r="R25" s="2">
        <v>0.95</v>
      </c>
      <c r="S25" s="1" t="s">
        <v>93</v>
      </c>
    </row>
    <row r="26" spans="1:19" x14ac:dyDescent="0.25">
      <c r="A26" s="1" t="s">
        <v>11</v>
      </c>
      <c r="B26" s="1">
        <v>2019</v>
      </c>
      <c r="C26" s="1" t="s">
        <v>19</v>
      </c>
      <c r="D26" s="1" t="s">
        <v>23</v>
      </c>
      <c r="E26" s="1">
        <v>90183</v>
      </c>
      <c r="F26" s="1">
        <v>23</v>
      </c>
      <c r="G26" s="1" t="s">
        <v>40</v>
      </c>
      <c r="H26" s="1" t="s">
        <v>44</v>
      </c>
      <c r="I26" s="1" t="s">
        <v>36</v>
      </c>
      <c r="J26" s="1">
        <v>500</v>
      </c>
      <c r="K26" s="1" t="s">
        <v>23</v>
      </c>
      <c r="M26" s="1" t="s">
        <v>31</v>
      </c>
      <c r="O26" s="1">
        <v>1.58</v>
      </c>
      <c r="P26" s="1">
        <v>1.1000000000000001</v>
      </c>
      <c r="Q26" s="1">
        <v>2.27</v>
      </c>
      <c r="R26" s="2">
        <v>0.95</v>
      </c>
      <c r="S26" s="1" t="s">
        <v>92</v>
      </c>
    </row>
    <row r="27" spans="1:19" x14ac:dyDescent="0.25">
      <c r="A27" s="1" t="s">
        <v>11</v>
      </c>
      <c r="B27" s="1">
        <v>2019</v>
      </c>
      <c r="C27" s="1" t="s">
        <v>19</v>
      </c>
      <c r="D27" s="1" t="s">
        <v>23</v>
      </c>
      <c r="E27" s="1">
        <v>90183</v>
      </c>
      <c r="F27" s="1">
        <v>23</v>
      </c>
      <c r="G27" s="1" t="s">
        <v>40</v>
      </c>
      <c r="H27" s="1" t="s">
        <v>44</v>
      </c>
      <c r="I27" s="1" t="s">
        <v>36</v>
      </c>
      <c r="J27" s="1">
        <v>1000</v>
      </c>
      <c r="K27" s="1" t="s">
        <v>23</v>
      </c>
      <c r="M27" s="1" t="s">
        <v>31</v>
      </c>
      <c r="O27" s="1">
        <v>1.22</v>
      </c>
      <c r="P27" s="1">
        <v>0.97</v>
      </c>
      <c r="Q27" s="1">
        <v>1.55</v>
      </c>
      <c r="R27" s="2">
        <v>0.95</v>
      </c>
      <c r="S27" s="1" t="s">
        <v>93</v>
      </c>
    </row>
    <row r="28" spans="1:19" x14ac:dyDescent="0.25">
      <c r="A28" s="1" t="s">
        <v>11</v>
      </c>
      <c r="B28" s="1">
        <v>2019</v>
      </c>
      <c r="C28" s="1" t="s">
        <v>19</v>
      </c>
      <c r="D28" s="1" t="s">
        <v>23</v>
      </c>
      <c r="E28" s="1">
        <v>90183</v>
      </c>
      <c r="F28" s="1">
        <v>23</v>
      </c>
      <c r="G28" s="1" t="s">
        <v>40</v>
      </c>
      <c r="H28" s="1" t="s">
        <v>44</v>
      </c>
      <c r="I28" s="1" t="s">
        <v>36</v>
      </c>
      <c r="J28" s="1">
        <v>1500</v>
      </c>
      <c r="K28" s="1" t="s">
        <v>23</v>
      </c>
      <c r="M28" s="1" t="s">
        <v>31</v>
      </c>
      <c r="O28" s="1">
        <v>1.08</v>
      </c>
      <c r="P28" s="1">
        <v>0.96</v>
      </c>
      <c r="Q28" s="1">
        <v>1.22</v>
      </c>
      <c r="R28" s="2">
        <v>0.95</v>
      </c>
      <c r="S28" s="1" t="s">
        <v>93</v>
      </c>
    </row>
    <row r="29" spans="1:19" x14ac:dyDescent="0.25">
      <c r="A29" s="1" t="s">
        <v>11</v>
      </c>
      <c r="B29" s="1">
        <v>2019</v>
      </c>
      <c r="C29" s="1" t="s">
        <v>19</v>
      </c>
      <c r="D29" s="1" t="s">
        <v>23</v>
      </c>
      <c r="E29" s="1">
        <v>90183</v>
      </c>
      <c r="F29" s="1">
        <v>23</v>
      </c>
      <c r="G29" s="1" t="s">
        <v>40</v>
      </c>
      <c r="H29" s="1" t="s">
        <v>44</v>
      </c>
      <c r="I29" s="1" t="s">
        <v>36</v>
      </c>
      <c r="J29" s="1">
        <v>2000</v>
      </c>
      <c r="K29" s="1" t="s">
        <v>23</v>
      </c>
      <c r="M29" s="1" t="s">
        <v>31</v>
      </c>
      <c r="O29" s="1">
        <v>1.07</v>
      </c>
      <c r="P29" s="1">
        <v>0.97</v>
      </c>
      <c r="Q29" s="1">
        <v>1.18</v>
      </c>
      <c r="R29" s="2">
        <v>0.95</v>
      </c>
      <c r="S29" s="1" t="s">
        <v>93</v>
      </c>
    </row>
    <row r="30" spans="1:19" x14ac:dyDescent="0.25">
      <c r="A30" s="1" t="s">
        <v>12</v>
      </c>
      <c r="B30" s="1">
        <v>2020</v>
      </c>
      <c r="C30" s="1" t="s">
        <v>19</v>
      </c>
      <c r="D30" s="1" t="s">
        <v>23</v>
      </c>
      <c r="E30" s="1">
        <v>203255</v>
      </c>
      <c r="F30" s="1">
        <v>48</v>
      </c>
      <c r="G30" s="1" t="s">
        <v>40</v>
      </c>
      <c r="H30" s="1" t="s">
        <v>44</v>
      </c>
      <c r="I30" s="1" t="s">
        <v>35</v>
      </c>
      <c r="K30" s="1">
        <v>2014</v>
      </c>
      <c r="M30" s="1" t="s">
        <v>31</v>
      </c>
      <c r="O30" s="1">
        <v>1.45</v>
      </c>
      <c r="P30" s="1">
        <v>1</v>
      </c>
      <c r="Q30" s="1">
        <v>2.1</v>
      </c>
      <c r="R30" s="2">
        <v>0.99</v>
      </c>
      <c r="S30" s="1" t="s">
        <v>93</v>
      </c>
    </row>
    <row r="31" spans="1:19" x14ac:dyDescent="0.25">
      <c r="A31" s="1" t="s">
        <v>12</v>
      </c>
      <c r="B31" s="1">
        <v>2020</v>
      </c>
      <c r="C31" s="1" t="s">
        <v>19</v>
      </c>
      <c r="D31" s="1" t="s">
        <v>23</v>
      </c>
      <c r="E31" s="1">
        <v>203255</v>
      </c>
      <c r="F31" s="1">
        <v>48</v>
      </c>
      <c r="G31" s="1" t="s">
        <v>40</v>
      </c>
      <c r="H31" s="1" t="s">
        <v>44</v>
      </c>
      <c r="I31" s="1" t="s">
        <v>35</v>
      </c>
      <c r="K31" s="1">
        <v>2015</v>
      </c>
      <c r="M31" s="1" t="s">
        <v>31</v>
      </c>
      <c r="O31" s="1">
        <v>1.58</v>
      </c>
      <c r="P31" s="1">
        <v>1.0900000000000001</v>
      </c>
      <c r="Q31" s="1">
        <v>2.2999999999999998</v>
      </c>
      <c r="R31" s="2">
        <v>0.99</v>
      </c>
      <c r="S31" s="1" t="s">
        <v>92</v>
      </c>
    </row>
    <row r="32" spans="1:19" x14ac:dyDescent="0.25">
      <c r="A32" s="1" t="s">
        <v>12</v>
      </c>
      <c r="B32" s="1">
        <v>2020</v>
      </c>
      <c r="C32" s="1" t="s">
        <v>19</v>
      </c>
      <c r="D32" s="1" t="s">
        <v>23</v>
      </c>
      <c r="E32" s="1">
        <v>203255</v>
      </c>
      <c r="F32" s="1">
        <v>48</v>
      </c>
      <c r="G32" s="1" t="s">
        <v>40</v>
      </c>
      <c r="H32" s="1" t="s">
        <v>44</v>
      </c>
      <c r="I32" s="1" t="s">
        <v>35</v>
      </c>
      <c r="K32" s="1">
        <v>2016</v>
      </c>
      <c r="M32" s="1" t="s">
        <v>31</v>
      </c>
      <c r="O32" s="1">
        <v>1.6</v>
      </c>
      <c r="P32" s="1">
        <v>1.1299999999999999</v>
      </c>
      <c r="Q32" s="1">
        <v>2.2799999999999998</v>
      </c>
      <c r="R32" s="2">
        <v>0.99</v>
      </c>
      <c r="S32" s="1" t="s">
        <v>92</v>
      </c>
    </row>
    <row r="33" spans="1:19" x14ac:dyDescent="0.25">
      <c r="A33" s="1" t="s">
        <v>13</v>
      </c>
      <c r="B33" s="1">
        <v>2023</v>
      </c>
      <c r="C33" s="1" t="s">
        <v>19</v>
      </c>
      <c r="D33" s="1" t="s">
        <v>24</v>
      </c>
      <c r="E33" s="1">
        <v>13400</v>
      </c>
      <c r="F33" s="1">
        <v>43</v>
      </c>
      <c r="G33" s="1" t="s">
        <v>46</v>
      </c>
      <c r="H33" s="1" t="s">
        <v>44</v>
      </c>
      <c r="I33" s="1" t="s">
        <v>35</v>
      </c>
      <c r="K33" s="1">
        <v>2014</v>
      </c>
      <c r="M33" s="1" t="s">
        <v>31</v>
      </c>
      <c r="O33" s="1">
        <v>1.41</v>
      </c>
      <c r="P33" s="1">
        <v>1.02</v>
      </c>
      <c r="Q33" s="1">
        <v>1.95</v>
      </c>
      <c r="R33" s="2">
        <v>0.95</v>
      </c>
      <c r="S33" s="1" t="s">
        <v>92</v>
      </c>
    </row>
    <row r="34" spans="1:19" x14ac:dyDescent="0.25">
      <c r="A34" s="1" t="s">
        <v>13</v>
      </c>
      <c r="B34" s="1">
        <v>2023</v>
      </c>
      <c r="C34" s="1" t="s">
        <v>19</v>
      </c>
      <c r="D34" s="1" t="s">
        <v>24</v>
      </c>
      <c r="E34" s="1">
        <v>13400</v>
      </c>
      <c r="F34" s="1">
        <v>43</v>
      </c>
      <c r="G34" s="1" t="s">
        <v>46</v>
      </c>
      <c r="H34" s="1" t="s">
        <v>44</v>
      </c>
      <c r="I34" s="1" t="s">
        <v>35</v>
      </c>
      <c r="K34" s="1">
        <v>2015</v>
      </c>
      <c r="M34" s="1" t="s">
        <v>31</v>
      </c>
      <c r="O34" s="1">
        <v>1.44</v>
      </c>
      <c r="P34" s="1">
        <v>0.99</v>
      </c>
      <c r="Q34" s="1">
        <v>2.09</v>
      </c>
      <c r="R34" s="2">
        <v>0.95</v>
      </c>
      <c r="S34" s="1" t="s">
        <v>93</v>
      </c>
    </row>
    <row r="35" spans="1:19" x14ac:dyDescent="0.25">
      <c r="A35" s="1" t="s">
        <v>13</v>
      </c>
      <c r="B35" s="1">
        <v>2023</v>
      </c>
      <c r="C35" s="1" t="s">
        <v>19</v>
      </c>
      <c r="D35" s="1" t="s">
        <v>24</v>
      </c>
      <c r="E35" s="1">
        <v>13400</v>
      </c>
      <c r="F35" s="1">
        <v>43</v>
      </c>
      <c r="G35" s="1" t="s">
        <v>46</v>
      </c>
      <c r="H35" s="1" t="s">
        <v>44</v>
      </c>
      <c r="I35" s="1" t="s">
        <v>35</v>
      </c>
      <c r="K35" s="1">
        <v>2016</v>
      </c>
      <c r="M35" s="1" t="s">
        <v>31</v>
      </c>
      <c r="O35" s="1">
        <v>1.38</v>
      </c>
      <c r="P35" s="1">
        <v>0.98</v>
      </c>
      <c r="Q35" s="1">
        <v>1.95</v>
      </c>
      <c r="R35" s="2">
        <v>0.95</v>
      </c>
      <c r="S35" s="1" t="s">
        <v>93</v>
      </c>
    </row>
    <row r="36" spans="1:19" x14ac:dyDescent="0.25">
      <c r="A36" s="1" t="s">
        <v>13</v>
      </c>
      <c r="B36" s="1">
        <v>2023</v>
      </c>
      <c r="C36" s="1" t="s">
        <v>19</v>
      </c>
      <c r="D36" s="1" t="s">
        <v>24</v>
      </c>
      <c r="E36" s="1">
        <v>13400</v>
      </c>
      <c r="F36" s="1">
        <v>43</v>
      </c>
      <c r="G36" s="1" t="s">
        <v>46</v>
      </c>
      <c r="H36" s="1" t="s">
        <v>44</v>
      </c>
      <c r="I36" s="1" t="s">
        <v>35</v>
      </c>
      <c r="K36" s="1">
        <v>2017</v>
      </c>
      <c r="M36" s="1" t="s">
        <v>31</v>
      </c>
      <c r="O36" s="1">
        <v>1.4</v>
      </c>
      <c r="P36" s="1">
        <v>1.01</v>
      </c>
      <c r="Q36" s="1">
        <v>1.93</v>
      </c>
      <c r="R36" s="2">
        <v>0.95</v>
      </c>
      <c r="S36" s="1" t="s">
        <v>92</v>
      </c>
    </row>
    <row r="37" spans="1:19" x14ac:dyDescent="0.25">
      <c r="A37" s="1" t="s">
        <v>13</v>
      </c>
      <c r="B37" s="1">
        <v>2023</v>
      </c>
      <c r="C37" s="1" t="s">
        <v>19</v>
      </c>
      <c r="D37" s="1" t="s">
        <v>24</v>
      </c>
      <c r="E37" s="1">
        <v>13400</v>
      </c>
      <c r="F37" s="1">
        <v>43</v>
      </c>
      <c r="G37" s="1" t="s">
        <v>46</v>
      </c>
      <c r="H37" s="1" t="s">
        <v>44</v>
      </c>
      <c r="I37" s="1" t="s">
        <v>36</v>
      </c>
      <c r="J37" s="1">
        <v>500</v>
      </c>
      <c r="K37" s="1" t="s">
        <v>24</v>
      </c>
      <c r="M37" s="1" t="s">
        <v>31</v>
      </c>
      <c r="O37" s="1">
        <v>1.49</v>
      </c>
      <c r="P37" s="1">
        <v>0.95</v>
      </c>
      <c r="Q37" s="1">
        <v>2.4</v>
      </c>
      <c r="R37" s="2">
        <v>0.95</v>
      </c>
      <c r="S37" s="1" t="s">
        <v>93</v>
      </c>
    </row>
    <row r="38" spans="1:19" x14ac:dyDescent="0.25">
      <c r="A38" s="1" t="s">
        <v>13</v>
      </c>
      <c r="B38" s="1">
        <v>2023</v>
      </c>
      <c r="C38" s="1" t="s">
        <v>19</v>
      </c>
      <c r="D38" s="1" t="s">
        <v>24</v>
      </c>
      <c r="E38" s="1">
        <v>13400</v>
      </c>
      <c r="F38" s="1">
        <v>43</v>
      </c>
      <c r="G38" s="1" t="s">
        <v>46</v>
      </c>
      <c r="H38" s="1" t="s">
        <v>44</v>
      </c>
      <c r="I38" s="1" t="s">
        <v>36</v>
      </c>
      <c r="J38" s="1">
        <v>1000</v>
      </c>
      <c r="K38" s="1" t="s">
        <v>24</v>
      </c>
      <c r="M38" s="1" t="s">
        <v>31</v>
      </c>
      <c r="O38" s="1">
        <v>1.18</v>
      </c>
      <c r="P38" s="1">
        <v>0.9</v>
      </c>
      <c r="Q38" s="1">
        <v>1.55</v>
      </c>
      <c r="R38" s="2">
        <v>0.95</v>
      </c>
      <c r="S38" s="1" t="s">
        <v>93</v>
      </c>
    </row>
    <row r="39" spans="1:19" x14ac:dyDescent="0.25">
      <c r="A39" s="1" t="s">
        <v>13</v>
      </c>
      <c r="B39" s="1">
        <v>2023</v>
      </c>
      <c r="C39" s="1" t="s">
        <v>19</v>
      </c>
      <c r="D39" s="1" t="s">
        <v>24</v>
      </c>
      <c r="E39" s="1">
        <v>13400</v>
      </c>
      <c r="F39" s="1">
        <v>43</v>
      </c>
      <c r="G39" s="1" t="s">
        <v>46</v>
      </c>
      <c r="H39" s="1" t="s">
        <v>44</v>
      </c>
      <c r="I39" s="1" t="s">
        <v>36</v>
      </c>
      <c r="J39" s="1">
        <v>2000</v>
      </c>
      <c r="K39" s="1" t="s">
        <v>24</v>
      </c>
      <c r="M39" s="1" t="s">
        <v>31</v>
      </c>
      <c r="O39" s="1">
        <v>0.91</v>
      </c>
      <c r="P39" s="1">
        <v>0.78</v>
      </c>
      <c r="Q39" s="1">
        <v>1.06</v>
      </c>
      <c r="R39" s="2">
        <v>0.95</v>
      </c>
      <c r="S39" s="1" t="s">
        <v>93</v>
      </c>
    </row>
    <row r="40" spans="1:19" x14ac:dyDescent="0.25">
      <c r="A40" s="1" t="s">
        <v>13</v>
      </c>
      <c r="B40" s="1">
        <v>2023</v>
      </c>
      <c r="C40" s="1" t="s">
        <v>19</v>
      </c>
      <c r="D40" s="1" t="s">
        <v>24</v>
      </c>
      <c r="E40" s="1">
        <v>13400</v>
      </c>
      <c r="F40" s="1">
        <v>43</v>
      </c>
      <c r="G40" s="1" t="s">
        <v>47</v>
      </c>
      <c r="H40" s="1" t="s">
        <v>44</v>
      </c>
      <c r="I40" s="1" t="s">
        <v>36</v>
      </c>
      <c r="J40" s="1">
        <v>500</v>
      </c>
      <c r="K40" s="1" t="s">
        <v>24</v>
      </c>
      <c r="M40" s="1" t="s">
        <v>31</v>
      </c>
      <c r="O40" s="1">
        <v>1.73</v>
      </c>
      <c r="P40" s="1">
        <v>1.24</v>
      </c>
      <c r="Q40" s="1">
        <v>2.42</v>
      </c>
      <c r="R40" s="2">
        <v>0.95</v>
      </c>
      <c r="S40" s="1" t="s">
        <v>92</v>
      </c>
    </row>
    <row r="41" spans="1:19" x14ac:dyDescent="0.25">
      <c r="A41" s="1" t="s">
        <v>13</v>
      </c>
      <c r="B41" s="1">
        <v>2023</v>
      </c>
      <c r="C41" s="1" t="s">
        <v>19</v>
      </c>
      <c r="D41" s="1" t="s">
        <v>24</v>
      </c>
      <c r="E41" s="1">
        <v>13400</v>
      </c>
      <c r="F41" s="1">
        <v>43</v>
      </c>
      <c r="G41" s="1" t="s">
        <v>47</v>
      </c>
      <c r="H41" s="1" t="s">
        <v>44</v>
      </c>
      <c r="I41" s="1" t="s">
        <v>36</v>
      </c>
      <c r="J41" s="1">
        <v>1000</v>
      </c>
      <c r="K41" s="1" t="s">
        <v>24</v>
      </c>
      <c r="M41" s="1" t="s">
        <v>31</v>
      </c>
      <c r="O41" s="1">
        <v>1.19</v>
      </c>
      <c r="P41" s="1">
        <v>1</v>
      </c>
      <c r="Q41" s="1">
        <v>1.41</v>
      </c>
      <c r="R41" s="2">
        <v>0.95</v>
      </c>
      <c r="S41" s="1" t="s">
        <v>93</v>
      </c>
    </row>
    <row r="42" spans="1:19" x14ac:dyDescent="0.25">
      <c r="A42" s="1" t="s">
        <v>13</v>
      </c>
      <c r="B42" s="1">
        <v>2023</v>
      </c>
      <c r="C42" s="1" t="s">
        <v>19</v>
      </c>
      <c r="D42" s="1" t="s">
        <v>24</v>
      </c>
      <c r="E42" s="1">
        <v>13400</v>
      </c>
      <c r="F42" s="1">
        <v>43</v>
      </c>
      <c r="G42" s="1" t="s">
        <v>47</v>
      </c>
      <c r="H42" s="1" t="s">
        <v>44</v>
      </c>
      <c r="I42" s="1" t="s">
        <v>36</v>
      </c>
      <c r="J42" s="1">
        <v>2000</v>
      </c>
      <c r="K42" s="1" t="s">
        <v>24</v>
      </c>
      <c r="M42" s="1" t="s">
        <v>31</v>
      </c>
      <c r="O42" s="1">
        <v>0.97</v>
      </c>
      <c r="P42" s="1">
        <v>0.88</v>
      </c>
      <c r="Q42" s="1">
        <v>1.07</v>
      </c>
      <c r="R42" s="2">
        <v>0.95</v>
      </c>
      <c r="S42" s="1" t="s">
        <v>93</v>
      </c>
    </row>
    <row r="43" spans="1:19" x14ac:dyDescent="0.25">
      <c r="A43" s="1" t="s">
        <v>14</v>
      </c>
      <c r="B43" s="1">
        <v>2023</v>
      </c>
      <c r="C43" s="1" t="s">
        <v>19</v>
      </c>
      <c r="D43" s="1" t="s">
        <v>56</v>
      </c>
      <c r="E43" s="1">
        <v>162941</v>
      </c>
      <c r="F43" s="1">
        <v>50</v>
      </c>
      <c r="G43" s="1" t="s">
        <v>40</v>
      </c>
      <c r="H43" s="1" t="s">
        <v>44</v>
      </c>
      <c r="I43" s="1" t="s">
        <v>78</v>
      </c>
      <c r="K43" s="1" t="s">
        <v>56</v>
      </c>
      <c r="L43" s="1" t="s">
        <v>79</v>
      </c>
      <c r="M43" s="1" t="s">
        <v>55</v>
      </c>
      <c r="O43" s="1" t="s">
        <v>57</v>
      </c>
      <c r="P43" s="1">
        <v>1.07</v>
      </c>
      <c r="Q43" s="1">
        <v>1.72</v>
      </c>
      <c r="R43" s="2">
        <v>0.95</v>
      </c>
      <c r="S43" s="1" t="s">
        <v>92</v>
      </c>
    </row>
    <row r="44" spans="1:19" x14ac:dyDescent="0.25">
      <c r="A44" s="1" t="s">
        <v>14</v>
      </c>
      <c r="B44" s="1">
        <v>2023</v>
      </c>
      <c r="C44" s="1" t="s">
        <v>19</v>
      </c>
      <c r="D44" s="1" t="s">
        <v>56</v>
      </c>
      <c r="E44" s="1">
        <v>162941</v>
      </c>
      <c r="F44" s="1">
        <v>50</v>
      </c>
      <c r="G44" s="1" t="s">
        <v>40</v>
      </c>
      <c r="H44" s="1" t="s">
        <v>44</v>
      </c>
      <c r="I44" s="1" t="s">
        <v>78</v>
      </c>
      <c r="K44" s="1" t="s">
        <v>56</v>
      </c>
      <c r="L44" s="1" t="s">
        <v>80</v>
      </c>
      <c r="M44" s="1" t="s">
        <v>55</v>
      </c>
      <c r="O44" s="1" t="s">
        <v>58</v>
      </c>
      <c r="P44" s="1">
        <v>1.22</v>
      </c>
      <c r="Q44" s="1">
        <v>2.0099999999999998</v>
      </c>
      <c r="R44" s="2">
        <v>0.95</v>
      </c>
      <c r="S44" s="1" t="s">
        <v>92</v>
      </c>
    </row>
    <row r="45" spans="1:19" x14ac:dyDescent="0.25">
      <c r="A45" s="1" t="s">
        <v>14</v>
      </c>
      <c r="B45" s="1">
        <v>2023</v>
      </c>
      <c r="C45" s="1" t="s">
        <v>19</v>
      </c>
      <c r="D45" s="1" t="s">
        <v>56</v>
      </c>
      <c r="E45" s="1">
        <v>162941</v>
      </c>
      <c r="F45" s="1">
        <v>50</v>
      </c>
      <c r="G45" s="1" t="s">
        <v>40</v>
      </c>
      <c r="H45" s="1" t="s">
        <v>44</v>
      </c>
      <c r="I45" s="1" t="s">
        <v>78</v>
      </c>
      <c r="K45" s="1" t="s">
        <v>56</v>
      </c>
      <c r="L45" s="1" t="s">
        <v>81</v>
      </c>
      <c r="M45" s="1" t="s">
        <v>55</v>
      </c>
      <c r="O45" s="1" t="s">
        <v>59</v>
      </c>
      <c r="P45" s="1">
        <v>1.17</v>
      </c>
      <c r="Q45" s="1">
        <v>1.97</v>
      </c>
      <c r="R45" s="2">
        <v>0.95</v>
      </c>
      <c r="S45" s="1" t="s">
        <v>92</v>
      </c>
    </row>
    <row r="46" spans="1:19" x14ac:dyDescent="0.25">
      <c r="A46" s="1" t="s">
        <v>14</v>
      </c>
      <c r="B46" s="1">
        <v>2023</v>
      </c>
      <c r="C46" s="1" t="s">
        <v>19</v>
      </c>
      <c r="D46" s="1" t="s">
        <v>56</v>
      </c>
      <c r="E46" s="1">
        <v>162941</v>
      </c>
      <c r="F46" s="1">
        <v>50</v>
      </c>
      <c r="G46" s="1" t="s">
        <v>40</v>
      </c>
      <c r="H46" s="1" t="s">
        <v>44</v>
      </c>
      <c r="I46" s="1" t="s">
        <v>78</v>
      </c>
      <c r="K46" s="1" t="s">
        <v>56</v>
      </c>
      <c r="L46" s="1" t="s">
        <v>82</v>
      </c>
      <c r="M46" s="1" t="s">
        <v>55</v>
      </c>
      <c r="O46" s="1" t="s">
        <v>60</v>
      </c>
      <c r="P46" s="1">
        <v>0.95</v>
      </c>
      <c r="Q46" s="1">
        <v>1.6</v>
      </c>
      <c r="R46" s="2">
        <v>0.95</v>
      </c>
      <c r="S46" s="1" t="s">
        <v>93</v>
      </c>
    </row>
    <row r="47" spans="1:19" x14ac:dyDescent="0.25">
      <c r="A47" s="1" t="s">
        <v>14</v>
      </c>
      <c r="B47" s="1">
        <v>2023</v>
      </c>
      <c r="C47" s="1" t="s">
        <v>19</v>
      </c>
      <c r="D47" s="1" t="s">
        <v>56</v>
      </c>
      <c r="E47" s="1">
        <v>162941</v>
      </c>
      <c r="F47" s="1">
        <v>50</v>
      </c>
      <c r="G47" s="1" t="s">
        <v>40</v>
      </c>
      <c r="H47" s="1" t="s">
        <v>44</v>
      </c>
      <c r="I47" s="1" t="s">
        <v>78</v>
      </c>
      <c r="K47" s="1" t="s">
        <v>56</v>
      </c>
      <c r="L47" s="1" t="s">
        <v>83</v>
      </c>
      <c r="M47" s="1" t="s">
        <v>55</v>
      </c>
      <c r="O47" s="1" t="s">
        <v>61</v>
      </c>
      <c r="P47" s="1">
        <v>1.1399999999999999</v>
      </c>
      <c r="Q47" s="1">
        <v>1.96</v>
      </c>
      <c r="R47" s="2">
        <v>0.95</v>
      </c>
      <c r="S47" s="1" t="s">
        <v>92</v>
      </c>
    </row>
    <row r="48" spans="1:19" x14ac:dyDescent="0.25">
      <c r="A48" s="1" t="s">
        <v>14</v>
      </c>
      <c r="B48" s="1">
        <v>2023</v>
      </c>
      <c r="C48" s="1" t="s">
        <v>19</v>
      </c>
      <c r="D48" s="1" t="s">
        <v>56</v>
      </c>
      <c r="E48" s="1">
        <v>162941</v>
      </c>
      <c r="F48" s="1">
        <v>50</v>
      </c>
      <c r="G48" s="1" t="s">
        <v>40</v>
      </c>
      <c r="H48" s="1" t="s">
        <v>44</v>
      </c>
      <c r="I48" s="1" t="s">
        <v>78</v>
      </c>
      <c r="K48" s="1" t="s">
        <v>56</v>
      </c>
      <c r="L48" s="1" t="s">
        <v>84</v>
      </c>
      <c r="M48" s="1" t="s">
        <v>55</v>
      </c>
      <c r="O48" s="1" t="s">
        <v>62</v>
      </c>
      <c r="P48" s="1">
        <v>1.02</v>
      </c>
      <c r="Q48" s="1">
        <v>1.61</v>
      </c>
      <c r="R48" s="2">
        <v>0.95</v>
      </c>
      <c r="S48" s="1" t="s">
        <v>92</v>
      </c>
    </row>
    <row r="49" spans="1:19" x14ac:dyDescent="0.25">
      <c r="A49" s="1" t="s">
        <v>14</v>
      </c>
      <c r="B49" s="1">
        <v>2023</v>
      </c>
      <c r="C49" s="1" t="s">
        <v>19</v>
      </c>
      <c r="D49" s="1" t="s">
        <v>56</v>
      </c>
      <c r="E49" s="1">
        <v>162941</v>
      </c>
      <c r="F49" s="1">
        <v>50</v>
      </c>
      <c r="G49" s="1" t="s">
        <v>40</v>
      </c>
      <c r="H49" s="1" t="s">
        <v>44</v>
      </c>
      <c r="I49" s="1" t="s">
        <v>78</v>
      </c>
      <c r="K49" s="1" t="s">
        <v>56</v>
      </c>
      <c r="L49" s="1" t="s">
        <v>85</v>
      </c>
      <c r="M49" s="1" t="s">
        <v>55</v>
      </c>
      <c r="O49" s="1" t="s">
        <v>63</v>
      </c>
      <c r="P49" s="1">
        <v>1.19</v>
      </c>
      <c r="Q49" s="1">
        <v>1.94</v>
      </c>
      <c r="R49" s="2">
        <v>0.95</v>
      </c>
      <c r="S49" s="1" t="s">
        <v>92</v>
      </c>
    </row>
    <row r="50" spans="1:19" x14ac:dyDescent="0.25">
      <c r="A50" s="1" t="s">
        <v>14</v>
      </c>
      <c r="B50" s="1">
        <v>2023</v>
      </c>
      <c r="C50" s="1" t="s">
        <v>19</v>
      </c>
      <c r="D50" s="1" t="s">
        <v>56</v>
      </c>
      <c r="E50" s="1">
        <v>162941</v>
      </c>
      <c r="F50" s="1">
        <v>50</v>
      </c>
      <c r="G50" s="1" t="s">
        <v>40</v>
      </c>
      <c r="H50" s="1" t="s">
        <v>44</v>
      </c>
      <c r="I50" s="1" t="s">
        <v>78</v>
      </c>
      <c r="K50" s="1" t="s">
        <v>56</v>
      </c>
      <c r="L50" s="1" t="s">
        <v>86</v>
      </c>
      <c r="M50" s="1" t="s">
        <v>55</v>
      </c>
      <c r="O50" s="1" t="s">
        <v>57</v>
      </c>
      <c r="P50" s="1">
        <v>1.06</v>
      </c>
      <c r="Q50" s="1">
        <v>1.74</v>
      </c>
      <c r="R50" s="2">
        <v>0.95</v>
      </c>
      <c r="S50" s="1" t="s">
        <v>92</v>
      </c>
    </row>
    <row r="51" spans="1:19" x14ac:dyDescent="0.25">
      <c r="A51" s="1" t="s">
        <v>14</v>
      </c>
      <c r="B51" s="1">
        <v>2023</v>
      </c>
      <c r="C51" s="1" t="s">
        <v>19</v>
      </c>
      <c r="D51" s="1" t="s">
        <v>56</v>
      </c>
      <c r="E51" s="1">
        <v>162941</v>
      </c>
      <c r="F51" s="1">
        <v>50</v>
      </c>
      <c r="G51" s="1" t="s">
        <v>40</v>
      </c>
      <c r="H51" s="1" t="s">
        <v>44</v>
      </c>
      <c r="I51" s="1" t="s">
        <v>78</v>
      </c>
      <c r="K51" s="1" t="s">
        <v>56</v>
      </c>
      <c r="L51" s="1" t="s">
        <v>87</v>
      </c>
      <c r="M51" s="1" t="s">
        <v>55</v>
      </c>
      <c r="O51" s="1" t="s">
        <v>64</v>
      </c>
      <c r="P51" s="1">
        <v>1.1200000000000001</v>
      </c>
      <c r="Q51" s="1">
        <v>1.89</v>
      </c>
      <c r="R51" s="2">
        <v>0.95</v>
      </c>
      <c r="S51" s="1" t="s">
        <v>92</v>
      </c>
    </row>
    <row r="52" spans="1:19" x14ac:dyDescent="0.25">
      <c r="A52" s="1" t="s">
        <v>14</v>
      </c>
      <c r="B52" s="1">
        <v>2023</v>
      </c>
      <c r="C52" s="1" t="s">
        <v>19</v>
      </c>
      <c r="D52" s="1" t="s">
        <v>56</v>
      </c>
      <c r="E52" s="1">
        <v>162941</v>
      </c>
      <c r="F52" s="1">
        <v>50</v>
      </c>
      <c r="G52" s="1" t="s">
        <v>40</v>
      </c>
      <c r="H52" s="1" t="s">
        <v>44</v>
      </c>
      <c r="I52" s="1" t="s">
        <v>78</v>
      </c>
      <c r="K52" s="1" t="s">
        <v>56</v>
      </c>
      <c r="L52" s="1" t="s">
        <v>88</v>
      </c>
      <c r="M52" s="1" t="s">
        <v>55</v>
      </c>
      <c r="O52" s="1" t="s">
        <v>64</v>
      </c>
      <c r="P52" s="1">
        <v>1.1299999999999999</v>
      </c>
      <c r="Q52" s="1">
        <v>1.88</v>
      </c>
      <c r="R52" s="2">
        <v>0.95</v>
      </c>
      <c r="S52" s="1" t="s">
        <v>92</v>
      </c>
    </row>
    <row r="53" spans="1:19" x14ac:dyDescent="0.25">
      <c r="A53" s="1" t="s">
        <v>14</v>
      </c>
      <c r="B53" s="1">
        <v>2023</v>
      </c>
      <c r="C53" s="1" t="s">
        <v>19</v>
      </c>
      <c r="D53" s="1" t="s">
        <v>56</v>
      </c>
      <c r="E53" s="1">
        <v>162941</v>
      </c>
      <c r="F53" s="1">
        <v>50</v>
      </c>
      <c r="G53" s="1" t="s">
        <v>40</v>
      </c>
      <c r="H53" s="1" t="s">
        <v>44</v>
      </c>
      <c r="I53" s="1" t="s">
        <v>78</v>
      </c>
      <c r="K53" s="1" t="s">
        <v>56</v>
      </c>
      <c r="L53" s="1" t="s">
        <v>89</v>
      </c>
      <c r="M53" s="1" t="s">
        <v>55</v>
      </c>
      <c r="O53" s="1" t="s">
        <v>65</v>
      </c>
      <c r="P53" s="1">
        <v>0.97</v>
      </c>
      <c r="Q53" s="1">
        <v>1.78</v>
      </c>
      <c r="R53" s="2">
        <v>0.95</v>
      </c>
      <c r="S53" s="1" t="s">
        <v>93</v>
      </c>
    </row>
    <row r="54" spans="1:19" x14ac:dyDescent="0.25">
      <c r="A54" s="1" t="s">
        <v>14</v>
      </c>
      <c r="B54" s="1">
        <v>2023</v>
      </c>
      <c r="C54" s="1" t="s">
        <v>19</v>
      </c>
      <c r="D54" s="1" t="s">
        <v>56</v>
      </c>
      <c r="E54" s="1">
        <v>162941</v>
      </c>
      <c r="F54" s="1">
        <v>50</v>
      </c>
      <c r="G54" s="1" t="s">
        <v>40</v>
      </c>
      <c r="H54" s="1" t="s">
        <v>44</v>
      </c>
      <c r="I54" s="1" t="s">
        <v>78</v>
      </c>
      <c r="K54" s="1" t="s">
        <v>56</v>
      </c>
      <c r="L54" s="1" t="s">
        <v>90</v>
      </c>
      <c r="M54" s="1" t="s">
        <v>55</v>
      </c>
      <c r="O54" s="1" t="s">
        <v>66</v>
      </c>
      <c r="P54" s="1">
        <v>1.08</v>
      </c>
      <c r="Q54" s="1">
        <v>1.83</v>
      </c>
      <c r="R54" s="2">
        <v>0.95</v>
      </c>
      <c r="S54" s="1" t="s">
        <v>92</v>
      </c>
    </row>
    <row r="55" spans="1:19" x14ac:dyDescent="0.25">
      <c r="A55" s="1" t="s">
        <v>14</v>
      </c>
      <c r="B55" s="1">
        <v>2023</v>
      </c>
      <c r="C55" s="1" t="s">
        <v>19</v>
      </c>
      <c r="D55" s="1" t="s">
        <v>56</v>
      </c>
      <c r="E55" s="1">
        <v>162941</v>
      </c>
      <c r="F55" s="1">
        <v>50</v>
      </c>
      <c r="G55" s="1" t="s">
        <v>40</v>
      </c>
      <c r="H55" s="1" t="s">
        <v>44</v>
      </c>
      <c r="I55" s="1" t="s">
        <v>78</v>
      </c>
      <c r="J55" s="1">
        <v>500</v>
      </c>
      <c r="K55" s="1" t="s">
        <v>56</v>
      </c>
      <c r="L55" s="1" t="s">
        <v>79</v>
      </c>
      <c r="M55" s="1" t="s">
        <v>55</v>
      </c>
      <c r="O55" s="1" t="s">
        <v>67</v>
      </c>
      <c r="P55" s="1">
        <v>0.3</v>
      </c>
      <c r="Q55" s="1">
        <v>1.36</v>
      </c>
      <c r="R55" s="2">
        <v>0.95</v>
      </c>
      <c r="S55" s="1" t="s">
        <v>93</v>
      </c>
    </row>
    <row r="56" spans="1:19" x14ac:dyDescent="0.25">
      <c r="A56" s="1" t="s">
        <v>14</v>
      </c>
      <c r="B56" s="1">
        <v>2023</v>
      </c>
      <c r="C56" s="1" t="s">
        <v>19</v>
      </c>
      <c r="D56" s="1" t="s">
        <v>56</v>
      </c>
      <c r="E56" s="1">
        <v>162941</v>
      </c>
      <c r="F56" s="1">
        <v>50</v>
      </c>
      <c r="G56" s="1" t="s">
        <v>40</v>
      </c>
      <c r="H56" s="1" t="s">
        <v>44</v>
      </c>
      <c r="I56" s="1" t="s">
        <v>78</v>
      </c>
      <c r="J56" s="1">
        <v>500</v>
      </c>
      <c r="K56" s="1" t="s">
        <v>56</v>
      </c>
      <c r="L56" s="1" t="s">
        <v>80</v>
      </c>
      <c r="M56" s="1" t="s">
        <v>55</v>
      </c>
      <c r="O56" s="1" t="s">
        <v>68</v>
      </c>
      <c r="P56" s="1">
        <v>0.47</v>
      </c>
      <c r="Q56" s="1">
        <v>1.57</v>
      </c>
      <c r="R56" s="2">
        <v>0.95</v>
      </c>
      <c r="S56" s="1" t="s">
        <v>93</v>
      </c>
    </row>
    <row r="57" spans="1:19" x14ac:dyDescent="0.25">
      <c r="A57" s="1" t="s">
        <v>14</v>
      </c>
      <c r="B57" s="1">
        <v>2023</v>
      </c>
      <c r="C57" s="1" t="s">
        <v>19</v>
      </c>
      <c r="D57" s="1" t="s">
        <v>56</v>
      </c>
      <c r="E57" s="1">
        <v>162941</v>
      </c>
      <c r="F57" s="1">
        <v>50</v>
      </c>
      <c r="G57" s="1" t="s">
        <v>40</v>
      </c>
      <c r="H57" s="1" t="s">
        <v>44</v>
      </c>
      <c r="I57" s="1" t="s">
        <v>78</v>
      </c>
      <c r="J57" s="1">
        <v>500</v>
      </c>
      <c r="K57" s="1" t="s">
        <v>56</v>
      </c>
      <c r="L57" s="1" t="s">
        <v>81</v>
      </c>
      <c r="M57" s="1" t="s">
        <v>55</v>
      </c>
      <c r="O57" s="1" t="s">
        <v>69</v>
      </c>
      <c r="P57" s="1">
        <v>1.02</v>
      </c>
      <c r="Q57" s="1">
        <v>2.78</v>
      </c>
      <c r="R57" s="2">
        <v>0.95</v>
      </c>
      <c r="S57" s="1" t="s">
        <v>92</v>
      </c>
    </row>
    <row r="58" spans="1:19" x14ac:dyDescent="0.25">
      <c r="A58" s="1" t="s">
        <v>14</v>
      </c>
      <c r="B58" s="1">
        <v>2023</v>
      </c>
      <c r="C58" s="1" t="s">
        <v>19</v>
      </c>
      <c r="D58" s="1" t="s">
        <v>56</v>
      </c>
      <c r="E58" s="1">
        <v>162941</v>
      </c>
      <c r="F58" s="1">
        <v>50</v>
      </c>
      <c r="G58" s="1" t="s">
        <v>40</v>
      </c>
      <c r="H58" s="1" t="s">
        <v>44</v>
      </c>
      <c r="I58" s="1" t="s">
        <v>78</v>
      </c>
      <c r="J58" s="1">
        <v>500</v>
      </c>
      <c r="K58" s="1" t="s">
        <v>56</v>
      </c>
      <c r="L58" s="1" t="s">
        <v>82</v>
      </c>
      <c r="M58" s="1" t="s">
        <v>55</v>
      </c>
      <c r="O58" s="1" t="s">
        <v>70</v>
      </c>
      <c r="P58" s="1">
        <v>0.54</v>
      </c>
      <c r="Q58" s="1">
        <v>2.42</v>
      </c>
      <c r="R58" s="2">
        <v>0.95</v>
      </c>
      <c r="S58" s="1" t="s">
        <v>93</v>
      </c>
    </row>
    <row r="59" spans="1:19" x14ac:dyDescent="0.25">
      <c r="A59" s="1" t="s">
        <v>14</v>
      </c>
      <c r="B59" s="1">
        <v>2023</v>
      </c>
      <c r="C59" s="1" t="s">
        <v>19</v>
      </c>
      <c r="D59" s="1" t="s">
        <v>56</v>
      </c>
      <c r="E59" s="1">
        <v>162941</v>
      </c>
      <c r="F59" s="1">
        <v>50</v>
      </c>
      <c r="G59" s="1" t="s">
        <v>40</v>
      </c>
      <c r="H59" s="1" t="s">
        <v>44</v>
      </c>
      <c r="I59" s="1" t="s">
        <v>78</v>
      </c>
      <c r="J59" s="1">
        <v>500</v>
      </c>
      <c r="K59" s="1" t="s">
        <v>56</v>
      </c>
      <c r="L59" s="1" t="s">
        <v>83</v>
      </c>
      <c r="M59" s="1" t="s">
        <v>55</v>
      </c>
      <c r="O59" s="1" t="s">
        <v>61</v>
      </c>
      <c r="P59" s="1">
        <v>0.74</v>
      </c>
      <c r="Q59" s="1">
        <v>3.02</v>
      </c>
      <c r="R59" s="2">
        <v>0.95</v>
      </c>
      <c r="S59" s="1" t="s">
        <v>93</v>
      </c>
    </row>
    <row r="60" spans="1:19" x14ac:dyDescent="0.25">
      <c r="A60" s="1" t="s">
        <v>14</v>
      </c>
      <c r="B60" s="1">
        <v>2023</v>
      </c>
      <c r="C60" s="1" t="s">
        <v>19</v>
      </c>
      <c r="D60" s="1" t="s">
        <v>56</v>
      </c>
      <c r="E60" s="1">
        <v>162941</v>
      </c>
      <c r="F60" s="1">
        <v>50</v>
      </c>
      <c r="G60" s="1" t="s">
        <v>40</v>
      </c>
      <c r="H60" s="1" t="s">
        <v>44</v>
      </c>
      <c r="I60" s="1" t="s">
        <v>78</v>
      </c>
      <c r="J60" s="1">
        <v>500</v>
      </c>
      <c r="K60" s="1" t="s">
        <v>56</v>
      </c>
      <c r="L60" s="1" t="s">
        <v>84</v>
      </c>
      <c r="M60" s="1" t="s">
        <v>55</v>
      </c>
      <c r="O60" s="1" t="s">
        <v>71</v>
      </c>
      <c r="P60" s="1">
        <v>0.21</v>
      </c>
      <c r="Q60" s="1">
        <v>2.1</v>
      </c>
      <c r="R60" s="2">
        <v>0.95</v>
      </c>
      <c r="S60" s="1" t="s">
        <v>93</v>
      </c>
    </row>
    <row r="61" spans="1:19" x14ac:dyDescent="0.25">
      <c r="A61" s="1" t="s">
        <v>14</v>
      </c>
      <c r="B61" s="1">
        <v>2023</v>
      </c>
      <c r="C61" s="1" t="s">
        <v>19</v>
      </c>
      <c r="D61" s="1" t="s">
        <v>56</v>
      </c>
      <c r="E61" s="1">
        <v>162941</v>
      </c>
      <c r="F61" s="1">
        <v>50</v>
      </c>
      <c r="G61" s="1" t="s">
        <v>40</v>
      </c>
      <c r="H61" s="1" t="s">
        <v>44</v>
      </c>
      <c r="I61" s="1" t="s">
        <v>78</v>
      </c>
      <c r="J61" s="1">
        <v>500</v>
      </c>
      <c r="K61" s="1" t="s">
        <v>56</v>
      </c>
      <c r="L61" s="1" t="s">
        <v>85</v>
      </c>
      <c r="M61" s="1" t="s">
        <v>55</v>
      </c>
      <c r="O61" s="1" t="s">
        <v>72</v>
      </c>
      <c r="P61" s="1">
        <v>0.82</v>
      </c>
      <c r="Q61" s="1">
        <v>3.72</v>
      </c>
      <c r="R61" s="2">
        <v>0.95</v>
      </c>
      <c r="S61" s="1" t="s">
        <v>93</v>
      </c>
    </row>
    <row r="62" spans="1:19" x14ac:dyDescent="0.25">
      <c r="A62" s="1" t="s">
        <v>14</v>
      </c>
      <c r="B62" s="1">
        <v>2023</v>
      </c>
      <c r="C62" s="1" t="s">
        <v>19</v>
      </c>
      <c r="D62" s="1" t="s">
        <v>56</v>
      </c>
      <c r="E62" s="1">
        <v>162941</v>
      </c>
      <c r="F62" s="1">
        <v>50</v>
      </c>
      <c r="G62" s="1" t="s">
        <v>40</v>
      </c>
      <c r="H62" s="1" t="s">
        <v>44</v>
      </c>
      <c r="I62" s="1" t="s">
        <v>78</v>
      </c>
      <c r="J62" s="1">
        <v>500</v>
      </c>
      <c r="K62" s="1" t="s">
        <v>56</v>
      </c>
      <c r="L62" s="1" t="s">
        <v>86</v>
      </c>
      <c r="M62" s="1" t="s">
        <v>55</v>
      </c>
      <c r="O62" s="1" t="s">
        <v>73</v>
      </c>
      <c r="P62" s="1">
        <v>1.45</v>
      </c>
      <c r="Q62" s="1">
        <v>4.9000000000000004</v>
      </c>
      <c r="R62" s="2">
        <v>0.95</v>
      </c>
      <c r="S62" s="1" t="s">
        <v>92</v>
      </c>
    </row>
    <row r="63" spans="1:19" x14ac:dyDescent="0.25">
      <c r="A63" s="1" t="s">
        <v>14</v>
      </c>
      <c r="B63" s="1">
        <v>2023</v>
      </c>
      <c r="C63" s="1" t="s">
        <v>19</v>
      </c>
      <c r="D63" s="1" t="s">
        <v>56</v>
      </c>
      <c r="E63" s="1">
        <v>162941</v>
      </c>
      <c r="F63" s="1">
        <v>50</v>
      </c>
      <c r="G63" s="1" t="s">
        <v>40</v>
      </c>
      <c r="H63" s="1" t="s">
        <v>44</v>
      </c>
      <c r="I63" s="1" t="s">
        <v>78</v>
      </c>
      <c r="J63" s="1">
        <v>500</v>
      </c>
      <c r="K63" s="1" t="s">
        <v>56</v>
      </c>
      <c r="L63" s="1" t="s">
        <v>87</v>
      </c>
      <c r="M63" s="1" t="s">
        <v>55</v>
      </c>
      <c r="O63" s="1" t="s">
        <v>74</v>
      </c>
      <c r="P63" s="1">
        <v>1.47</v>
      </c>
      <c r="Q63" s="1">
        <v>4.32</v>
      </c>
      <c r="R63" s="2">
        <v>0.95</v>
      </c>
      <c r="S63" s="1" t="s">
        <v>92</v>
      </c>
    </row>
    <row r="64" spans="1:19" x14ac:dyDescent="0.25">
      <c r="A64" s="1" t="s">
        <v>14</v>
      </c>
      <c r="B64" s="1">
        <v>2023</v>
      </c>
      <c r="C64" s="1" t="s">
        <v>19</v>
      </c>
      <c r="D64" s="1" t="s">
        <v>56</v>
      </c>
      <c r="E64" s="1">
        <v>162941</v>
      </c>
      <c r="F64" s="1">
        <v>50</v>
      </c>
      <c r="G64" s="1" t="s">
        <v>40</v>
      </c>
      <c r="H64" s="1" t="s">
        <v>44</v>
      </c>
      <c r="I64" s="1" t="s">
        <v>78</v>
      </c>
      <c r="J64" s="1">
        <v>500</v>
      </c>
      <c r="K64" s="1" t="s">
        <v>56</v>
      </c>
      <c r="L64" s="1" t="s">
        <v>88</v>
      </c>
      <c r="M64" s="1" t="s">
        <v>55</v>
      </c>
      <c r="O64" s="1" t="s">
        <v>75</v>
      </c>
      <c r="P64" s="1">
        <v>0.87</v>
      </c>
      <c r="Q64" s="1">
        <v>3.06</v>
      </c>
      <c r="R64" s="2">
        <v>0.95</v>
      </c>
      <c r="S64" s="1" t="s">
        <v>93</v>
      </c>
    </row>
    <row r="65" spans="1:19" x14ac:dyDescent="0.25">
      <c r="A65" s="1" t="s">
        <v>14</v>
      </c>
      <c r="B65" s="1">
        <v>2023</v>
      </c>
      <c r="C65" s="1" t="s">
        <v>19</v>
      </c>
      <c r="D65" s="1" t="s">
        <v>56</v>
      </c>
      <c r="E65" s="1">
        <v>162941</v>
      </c>
      <c r="F65" s="1">
        <v>50</v>
      </c>
      <c r="G65" s="1" t="s">
        <v>40</v>
      </c>
      <c r="H65" s="1" t="s">
        <v>44</v>
      </c>
      <c r="I65" s="1" t="s">
        <v>78</v>
      </c>
      <c r="J65" s="1">
        <v>500</v>
      </c>
      <c r="K65" s="1" t="s">
        <v>56</v>
      </c>
      <c r="L65" s="1" t="s">
        <v>89</v>
      </c>
      <c r="M65" s="1" t="s">
        <v>55</v>
      </c>
      <c r="O65" s="1" t="s">
        <v>76</v>
      </c>
      <c r="P65" s="1">
        <v>0.32</v>
      </c>
      <c r="Q65" s="1">
        <v>1.83</v>
      </c>
      <c r="R65" s="2">
        <v>0.95</v>
      </c>
      <c r="S65" s="1" t="s">
        <v>93</v>
      </c>
    </row>
    <row r="66" spans="1:19" x14ac:dyDescent="0.25">
      <c r="A66" s="1" t="s">
        <v>14</v>
      </c>
      <c r="B66" s="1">
        <v>2023</v>
      </c>
      <c r="C66" s="1" t="s">
        <v>19</v>
      </c>
      <c r="D66" s="1" t="s">
        <v>56</v>
      </c>
      <c r="E66" s="1">
        <v>162941</v>
      </c>
      <c r="F66" s="1">
        <v>50</v>
      </c>
      <c r="G66" s="1" t="s">
        <v>40</v>
      </c>
      <c r="H66" s="1" t="s">
        <v>44</v>
      </c>
      <c r="I66" s="1" t="s">
        <v>78</v>
      </c>
      <c r="J66" s="1">
        <v>500</v>
      </c>
      <c r="K66" s="1" t="s">
        <v>56</v>
      </c>
      <c r="L66" s="1" t="s">
        <v>90</v>
      </c>
      <c r="M66" s="1" t="s">
        <v>55</v>
      </c>
      <c r="O66" s="1" t="s">
        <v>77</v>
      </c>
      <c r="P66" s="1">
        <v>0.87</v>
      </c>
      <c r="Q66" s="1">
        <v>2.4500000000000002</v>
      </c>
      <c r="R66" s="2">
        <v>0.95</v>
      </c>
      <c r="S66" s="1" t="s">
        <v>93</v>
      </c>
    </row>
    <row r="67" spans="1:19" x14ac:dyDescent="0.25">
      <c r="A67" s="1" t="s">
        <v>14</v>
      </c>
      <c r="B67" s="1">
        <v>2023</v>
      </c>
      <c r="C67" s="1" t="s">
        <v>19</v>
      </c>
      <c r="D67" s="1" t="s">
        <v>56</v>
      </c>
      <c r="E67" s="1">
        <v>162941</v>
      </c>
      <c r="F67" s="1">
        <v>50</v>
      </c>
      <c r="G67" s="1" t="s">
        <v>40</v>
      </c>
      <c r="H67" s="1" t="s">
        <v>44</v>
      </c>
      <c r="I67" s="1" t="s">
        <v>78</v>
      </c>
      <c r="J67" s="1">
        <v>1000</v>
      </c>
      <c r="K67" s="1" t="s">
        <v>56</v>
      </c>
      <c r="L67" s="1" t="s">
        <v>79</v>
      </c>
      <c r="M67" s="1" t="s">
        <v>55</v>
      </c>
      <c r="O67" s="1">
        <v>1.1599999999999999</v>
      </c>
      <c r="P67" s="1">
        <v>0.94</v>
      </c>
      <c r="Q67" s="1">
        <v>1.44</v>
      </c>
      <c r="R67" s="2">
        <v>0.95</v>
      </c>
      <c r="S67" s="1" t="s">
        <v>93</v>
      </c>
    </row>
    <row r="68" spans="1:19" x14ac:dyDescent="0.25">
      <c r="A68" s="1" t="s">
        <v>14</v>
      </c>
      <c r="B68" s="1">
        <v>2023</v>
      </c>
      <c r="C68" s="1" t="s">
        <v>19</v>
      </c>
      <c r="D68" s="1" t="s">
        <v>56</v>
      </c>
      <c r="E68" s="1">
        <v>162941</v>
      </c>
      <c r="F68" s="1">
        <v>50</v>
      </c>
      <c r="G68" s="1" t="s">
        <v>40</v>
      </c>
      <c r="H68" s="1" t="s">
        <v>44</v>
      </c>
      <c r="I68" s="1" t="s">
        <v>78</v>
      </c>
      <c r="J68" s="1">
        <v>1000</v>
      </c>
      <c r="K68" s="1" t="s">
        <v>56</v>
      </c>
      <c r="L68" s="1" t="s">
        <v>80</v>
      </c>
      <c r="M68" s="1" t="s">
        <v>55</v>
      </c>
      <c r="O68" s="1">
        <v>0.9</v>
      </c>
      <c r="P68" s="1">
        <v>0.73</v>
      </c>
      <c r="Q68" s="1">
        <v>1.1200000000000001</v>
      </c>
      <c r="R68" s="2">
        <v>0.95</v>
      </c>
      <c r="S68" s="1" t="s">
        <v>93</v>
      </c>
    </row>
    <row r="69" spans="1:19" x14ac:dyDescent="0.25">
      <c r="A69" s="1" t="s">
        <v>14</v>
      </c>
      <c r="B69" s="1">
        <v>2023</v>
      </c>
      <c r="C69" s="1" t="s">
        <v>19</v>
      </c>
      <c r="D69" s="1" t="s">
        <v>56</v>
      </c>
      <c r="E69" s="1">
        <v>162941</v>
      </c>
      <c r="F69" s="1">
        <v>50</v>
      </c>
      <c r="G69" s="1" t="s">
        <v>40</v>
      </c>
      <c r="H69" s="1" t="s">
        <v>44</v>
      </c>
      <c r="I69" s="1" t="s">
        <v>78</v>
      </c>
      <c r="J69" s="1">
        <v>1000</v>
      </c>
      <c r="K69" s="1" t="s">
        <v>56</v>
      </c>
      <c r="L69" s="1" t="s">
        <v>81</v>
      </c>
      <c r="M69" s="1" t="s">
        <v>55</v>
      </c>
      <c r="O69" s="1">
        <v>0.91</v>
      </c>
      <c r="P69" s="1">
        <v>0.72</v>
      </c>
      <c r="Q69" s="1">
        <v>1.1599999999999999</v>
      </c>
      <c r="R69" s="2">
        <v>0.95</v>
      </c>
      <c r="S69" s="1" t="s">
        <v>93</v>
      </c>
    </row>
    <row r="70" spans="1:19" x14ac:dyDescent="0.25">
      <c r="A70" s="1" t="s">
        <v>14</v>
      </c>
      <c r="B70" s="1">
        <v>2023</v>
      </c>
      <c r="C70" s="1" t="s">
        <v>19</v>
      </c>
      <c r="D70" s="1" t="s">
        <v>56</v>
      </c>
      <c r="E70" s="1">
        <v>162941</v>
      </c>
      <c r="F70" s="1">
        <v>50</v>
      </c>
      <c r="G70" s="1" t="s">
        <v>40</v>
      </c>
      <c r="H70" s="1" t="s">
        <v>44</v>
      </c>
      <c r="I70" s="1" t="s">
        <v>78</v>
      </c>
      <c r="J70" s="1">
        <v>1000</v>
      </c>
      <c r="K70" s="1" t="s">
        <v>56</v>
      </c>
      <c r="L70" s="1" t="s">
        <v>82</v>
      </c>
      <c r="M70" s="1" t="s">
        <v>55</v>
      </c>
      <c r="O70" s="1">
        <v>0.78</v>
      </c>
      <c r="P70" s="1">
        <v>0.56999999999999995</v>
      </c>
      <c r="Q70" s="1">
        <v>1.07</v>
      </c>
      <c r="R70" s="2">
        <v>0.95</v>
      </c>
      <c r="S70" s="1" t="s">
        <v>93</v>
      </c>
    </row>
    <row r="71" spans="1:19" x14ac:dyDescent="0.25">
      <c r="A71" s="1" t="s">
        <v>14</v>
      </c>
      <c r="B71" s="1">
        <v>2023</v>
      </c>
      <c r="C71" s="1" t="s">
        <v>19</v>
      </c>
      <c r="D71" s="1" t="s">
        <v>56</v>
      </c>
      <c r="E71" s="1">
        <v>162941</v>
      </c>
      <c r="F71" s="1">
        <v>50</v>
      </c>
      <c r="G71" s="1" t="s">
        <v>40</v>
      </c>
      <c r="H71" s="1" t="s">
        <v>44</v>
      </c>
      <c r="I71" s="1" t="s">
        <v>78</v>
      </c>
      <c r="J71" s="1">
        <v>1000</v>
      </c>
      <c r="K71" s="1" t="s">
        <v>56</v>
      </c>
      <c r="L71" s="1" t="s">
        <v>83</v>
      </c>
      <c r="M71" s="1" t="s">
        <v>55</v>
      </c>
      <c r="O71" s="1">
        <v>1.19</v>
      </c>
      <c r="P71" s="1">
        <v>0.88</v>
      </c>
      <c r="Q71" s="1">
        <v>1.6</v>
      </c>
      <c r="R71" s="2">
        <v>0.95</v>
      </c>
      <c r="S71" s="1" t="s">
        <v>93</v>
      </c>
    </row>
    <row r="72" spans="1:19" x14ac:dyDescent="0.25">
      <c r="A72" s="1" t="s">
        <v>14</v>
      </c>
      <c r="B72" s="1">
        <v>2023</v>
      </c>
      <c r="C72" s="1" t="s">
        <v>19</v>
      </c>
      <c r="D72" s="1" t="s">
        <v>56</v>
      </c>
      <c r="E72" s="1">
        <v>162941</v>
      </c>
      <c r="F72" s="1">
        <v>50</v>
      </c>
      <c r="G72" s="1" t="s">
        <v>40</v>
      </c>
      <c r="H72" s="1" t="s">
        <v>44</v>
      </c>
      <c r="I72" s="1" t="s">
        <v>78</v>
      </c>
      <c r="J72" s="1">
        <v>1000</v>
      </c>
      <c r="K72" s="1" t="s">
        <v>56</v>
      </c>
      <c r="L72" s="1" t="s">
        <v>84</v>
      </c>
      <c r="M72" s="1" t="s">
        <v>55</v>
      </c>
      <c r="O72" s="1">
        <v>0.81</v>
      </c>
      <c r="P72" s="1">
        <v>0.56000000000000005</v>
      </c>
      <c r="Q72" s="1">
        <v>1.17</v>
      </c>
      <c r="R72" s="2">
        <v>0.95</v>
      </c>
      <c r="S72" s="1" t="s">
        <v>93</v>
      </c>
    </row>
    <row r="73" spans="1:19" x14ac:dyDescent="0.25">
      <c r="A73" s="1" t="s">
        <v>14</v>
      </c>
      <c r="B73" s="1">
        <v>2023</v>
      </c>
      <c r="C73" s="1" t="s">
        <v>19</v>
      </c>
      <c r="D73" s="1" t="s">
        <v>56</v>
      </c>
      <c r="E73" s="1">
        <v>162941</v>
      </c>
      <c r="F73" s="1">
        <v>50</v>
      </c>
      <c r="G73" s="1" t="s">
        <v>40</v>
      </c>
      <c r="H73" s="1" t="s">
        <v>44</v>
      </c>
      <c r="I73" s="1" t="s">
        <v>78</v>
      </c>
      <c r="J73" s="1">
        <v>1000</v>
      </c>
      <c r="K73" s="1" t="s">
        <v>56</v>
      </c>
      <c r="L73" s="1" t="s">
        <v>85</v>
      </c>
      <c r="M73" s="1" t="s">
        <v>55</v>
      </c>
      <c r="O73" s="1">
        <v>1</v>
      </c>
      <c r="P73" s="1">
        <v>0.7</v>
      </c>
      <c r="Q73" s="1">
        <v>1.42</v>
      </c>
      <c r="R73" s="2">
        <v>0.95</v>
      </c>
      <c r="S73" s="1" t="s">
        <v>93</v>
      </c>
    </row>
    <row r="74" spans="1:19" x14ac:dyDescent="0.25">
      <c r="A74" s="1" t="s">
        <v>14</v>
      </c>
      <c r="B74" s="1">
        <v>2023</v>
      </c>
      <c r="C74" s="1" t="s">
        <v>19</v>
      </c>
      <c r="D74" s="1" t="s">
        <v>56</v>
      </c>
      <c r="E74" s="1">
        <v>162941</v>
      </c>
      <c r="F74" s="1">
        <v>50</v>
      </c>
      <c r="G74" s="1" t="s">
        <v>40</v>
      </c>
      <c r="H74" s="1" t="s">
        <v>44</v>
      </c>
      <c r="I74" s="1" t="s">
        <v>78</v>
      </c>
      <c r="J74" s="1">
        <v>1000</v>
      </c>
      <c r="K74" s="1" t="s">
        <v>56</v>
      </c>
      <c r="L74" s="1" t="s">
        <v>86</v>
      </c>
      <c r="M74" s="1" t="s">
        <v>55</v>
      </c>
      <c r="O74" s="1">
        <v>1.1499999999999999</v>
      </c>
      <c r="P74" s="1">
        <v>0.82</v>
      </c>
      <c r="Q74" s="1">
        <v>1.62</v>
      </c>
      <c r="R74" s="2">
        <v>0.95</v>
      </c>
      <c r="S74" s="1" t="s">
        <v>93</v>
      </c>
    </row>
    <row r="75" spans="1:19" x14ac:dyDescent="0.25">
      <c r="A75" s="1" t="s">
        <v>14</v>
      </c>
      <c r="B75" s="1">
        <v>2023</v>
      </c>
      <c r="C75" s="1" t="s">
        <v>19</v>
      </c>
      <c r="D75" s="1" t="s">
        <v>56</v>
      </c>
      <c r="E75" s="1">
        <v>162941</v>
      </c>
      <c r="F75" s="1">
        <v>50</v>
      </c>
      <c r="G75" s="1" t="s">
        <v>40</v>
      </c>
      <c r="H75" s="1" t="s">
        <v>44</v>
      </c>
      <c r="I75" s="1" t="s">
        <v>78</v>
      </c>
      <c r="J75" s="1">
        <v>1000</v>
      </c>
      <c r="K75" s="1" t="s">
        <v>56</v>
      </c>
      <c r="L75" s="1" t="s">
        <v>87</v>
      </c>
      <c r="M75" s="1" t="s">
        <v>55</v>
      </c>
      <c r="O75" s="1">
        <v>1.1000000000000001</v>
      </c>
      <c r="P75" s="1">
        <v>0.81</v>
      </c>
      <c r="Q75" s="1">
        <v>1.48</v>
      </c>
      <c r="R75" s="2">
        <v>0.95</v>
      </c>
      <c r="S75" s="1" t="s">
        <v>93</v>
      </c>
    </row>
    <row r="76" spans="1:19" x14ac:dyDescent="0.25">
      <c r="A76" s="1" t="s">
        <v>14</v>
      </c>
      <c r="B76" s="1">
        <v>2023</v>
      </c>
      <c r="C76" s="1" t="s">
        <v>19</v>
      </c>
      <c r="D76" s="1" t="s">
        <v>56</v>
      </c>
      <c r="E76" s="1">
        <v>162941</v>
      </c>
      <c r="F76" s="1">
        <v>50</v>
      </c>
      <c r="G76" s="1" t="s">
        <v>40</v>
      </c>
      <c r="H76" s="1" t="s">
        <v>44</v>
      </c>
      <c r="I76" s="1" t="s">
        <v>78</v>
      </c>
      <c r="J76" s="1">
        <v>1000</v>
      </c>
      <c r="K76" s="1" t="s">
        <v>56</v>
      </c>
      <c r="L76" s="1" t="s">
        <v>88</v>
      </c>
      <c r="M76" s="1" t="s">
        <v>55</v>
      </c>
      <c r="O76" s="1">
        <v>1.25</v>
      </c>
      <c r="P76" s="1">
        <v>0.95</v>
      </c>
      <c r="Q76" s="1">
        <v>1.63</v>
      </c>
      <c r="R76" s="2">
        <v>0.95</v>
      </c>
      <c r="S76" s="1" t="s">
        <v>93</v>
      </c>
    </row>
    <row r="77" spans="1:19" x14ac:dyDescent="0.25">
      <c r="A77" s="1" t="s">
        <v>14</v>
      </c>
      <c r="B77" s="1">
        <v>2023</v>
      </c>
      <c r="C77" s="1" t="s">
        <v>19</v>
      </c>
      <c r="D77" s="1" t="s">
        <v>56</v>
      </c>
      <c r="E77" s="1">
        <v>162941</v>
      </c>
      <c r="F77" s="1">
        <v>50</v>
      </c>
      <c r="G77" s="1" t="s">
        <v>40</v>
      </c>
      <c r="H77" s="1" t="s">
        <v>44</v>
      </c>
      <c r="I77" s="1" t="s">
        <v>78</v>
      </c>
      <c r="J77" s="1">
        <v>1000</v>
      </c>
      <c r="K77" s="1" t="s">
        <v>56</v>
      </c>
      <c r="L77" s="1" t="s">
        <v>89</v>
      </c>
      <c r="M77" s="1" t="s">
        <v>55</v>
      </c>
      <c r="O77" s="1">
        <v>0.97</v>
      </c>
      <c r="P77" s="1">
        <v>0.73</v>
      </c>
      <c r="Q77" s="1">
        <v>1.3</v>
      </c>
      <c r="R77" s="2">
        <v>0.95</v>
      </c>
      <c r="S77" s="1" t="s">
        <v>93</v>
      </c>
    </row>
    <row r="78" spans="1:19" x14ac:dyDescent="0.25">
      <c r="A78" s="1" t="s">
        <v>14</v>
      </c>
      <c r="B78" s="1">
        <v>2023</v>
      </c>
      <c r="C78" s="1" t="s">
        <v>19</v>
      </c>
      <c r="D78" s="1" t="s">
        <v>56</v>
      </c>
      <c r="E78" s="1">
        <v>162941</v>
      </c>
      <c r="F78" s="1">
        <v>50</v>
      </c>
      <c r="G78" s="1" t="s">
        <v>40</v>
      </c>
      <c r="H78" s="1" t="s">
        <v>44</v>
      </c>
      <c r="I78" s="1" t="s">
        <v>78</v>
      </c>
      <c r="J78" s="1">
        <v>1000</v>
      </c>
      <c r="K78" s="1" t="s">
        <v>56</v>
      </c>
      <c r="L78" s="1" t="s">
        <v>90</v>
      </c>
      <c r="M78" s="1" t="s">
        <v>55</v>
      </c>
      <c r="O78" s="1">
        <v>0.99</v>
      </c>
      <c r="P78" s="1">
        <v>0.79</v>
      </c>
      <c r="Q78" s="1">
        <v>1.24</v>
      </c>
      <c r="R78" s="2">
        <v>0.95</v>
      </c>
      <c r="S78" s="1" t="s">
        <v>93</v>
      </c>
    </row>
    <row r="79" spans="1:19" x14ac:dyDescent="0.25">
      <c r="A79" s="1" t="s">
        <v>14</v>
      </c>
      <c r="B79" s="1">
        <v>2023</v>
      </c>
      <c r="C79" s="1" t="s">
        <v>19</v>
      </c>
      <c r="D79" s="1" t="s">
        <v>56</v>
      </c>
      <c r="E79" s="1">
        <v>162941</v>
      </c>
      <c r="F79" s="1">
        <v>50</v>
      </c>
      <c r="G79" s="1" t="s">
        <v>40</v>
      </c>
      <c r="H79" s="1" t="s">
        <v>44</v>
      </c>
      <c r="I79" s="1" t="s">
        <v>78</v>
      </c>
      <c r="J79" s="1">
        <v>2000</v>
      </c>
      <c r="K79" s="1" t="s">
        <v>56</v>
      </c>
      <c r="L79" s="1" t="s">
        <v>79</v>
      </c>
      <c r="M79" s="1" t="s">
        <v>55</v>
      </c>
      <c r="O79" s="1">
        <v>0.94</v>
      </c>
      <c r="P79" s="1">
        <v>0.81</v>
      </c>
      <c r="Q79" s="1">
        <v>1.0900000000000001</v>
      </c>
      <c r="R79" s="2">
        <v>0.95</v>
      </c>
      <c r="S79" s="1" t="s">
        <v>93</v>
      </c>
    </row>
    <row r="80" spans="1:19" x14ac:dyDescent="0.25">
      <c r="A80" s="1" t="s">
        <v>14</v>
      </c>
      <c r="B80" s="1">
        <v>2023</v>
      </c>
      <c r="C80" s="1" t="s">
        <v>19</v>
      </c>
      <c r="D80" s="1" t="s">
        <v>56</v>
      </c>
      <c r="E80" s="1">
        <v>162941</v>
      </c>
      <c r="F80" s="1">
        <v>50</v>
      </c>
      <c r="G80" s="1" t="s">
        <v>40</v>
      </c>
      <c r="H80" s="1" t="s">
        <v>44</v>
      </c>
      <c r="I80" s="1" t="s">
        <v>78</v>
      </c>
      <c r="J80" s="1">
        <v>2000</v>
      </c>
      <c r="K80" s="1" t="s">
        <v>56</v>
      </c>
      <c r="L80" s="1" t="s">
        <v>80</v>
      </c>
      <c r="M80" s="1" t="s">
        <v>55</v>
      </c>
      <c r="O80" s="1">
        <v>1.06</v>
      </c>
      <c r="P80" s="1">
        <v>0.91</v>
      </c>
      <c r="Q80" s="1">
        <v>1.22</v>
      </c>
      <c r="R80" s="2">
        <v>0.95</v>
      </c>
      <c r="S80" s="1" t="s">
        <v>93</v>
      </c>
    </row>
    <row r="81" spans="1:19" x14ac:dyDescent="0.25">
      <c r="A81" s="1" t="s">
        <v>14</v>
      </c>
      <c r="B81" s="1">
        <v>2023</v>
      </c>
      <c r="C81" s="1" t="s">
        <v>19</v>
      </c>
      <c r="D81" s="1" t="s">
        <v>56</v>
      </c>
      <c r="E81" s="1">
        <v>162941</v>
      </c>
      <c r="F81" s="1">
        <v>50</v>
      </c>
      <c r="G81" s="1" t="s">
        <v>40</v>
      </c>
      <c r="H81" s="1" t="s">
        <v>44</v>
      </c>
      <c r="I81" s="1" t="s">
        <v>78</v>
      </c>
      <c r="J81" s="1">
        <v>2000</v>
      </c>
      <c r="K81" s="1" t="s">
        <v>56</v>
      </c>
      <c r="L81" s="1" t="s">
        <v>81</v>
      </c>
      <c r="M81" s="1" t="s">
        <v>55</v>
      </c>
      <c r="O81" s="1">
        <v>1.1599999999999999</v>
      </c>
      <c r="P81" s="1">
        <v>0.99</v>
      </c>
      <c r="Q81" s="1">
        <v>1.35</v>
      </c>
      <c r="R81" s="2">
        <v>0.95</v>
      </c>
      <c r="S81" s="1" t="s">
        <v>93</v>
      </c>
    </row>
    <row r="82" spans="1:19" x14ac:dyDescent="0.25">
      <c r="A82" s="1" t="s">
        <v>14</v>
      </c>
      <c r="B82" s="1">
        <v>2023</v>
      </c>
      <c r="C82" s="1" t="s">
        <v>19</v>
      </c>
      <c r="D82" s="1" t="s">
        <v>56</v>
      </c>
      <c r="E82" s="1">
        <v>162941</v>
      </c>
      <c r="F82" s="1">
        <v>50</v>
      </c>
      <c r="G82" s="1" t="s">
        <v>40</v>
      </c>
      <c r="H82" s="1" t="s">
        <v>44</v>
      </c>
      <c r="I82" s="1" t="s">
        <v>78</v>
      </c>
      <c r="J82" s="1">
        <v>2000</v>
      </c>
      <c r="K82" s="1" t="s">
        <v>56</v>
      </c>
      <c r="L82" s="1" t="s">
        <v>82</v>
      </c>
      <c r="M82" s="1" t="s">
        <v>55</v>
      </c>
      <c r="O82" s="1">
        <v>1.08</v>
      </c>
      <c r="P82" s="1">
        <v>0.9</v>
      </c>
      <c r="Q82" s="1">
        <v>1.3</v>
      </c>
      <c r="R82" s="2">
        <v>0.95</v>
      </c>
      <c r="S82" s="1" t="s">
        <v>93</v>
      </c>
    </row>
    <row r="83" spans="1:19" x14ac:dyDescent="0.25">
      <c r="A83" s="1" t="s">
        <v>14</v>
      </c>
      <c r="B83" s="1">
        <v>2023</v>
      </c>
      <c r="C83" s="1" t="s">
        <v>19</v>
      </c>
      <c r="D83" s="1" t="s">
        <v>56</v>
      </c>
      <c r="E83" s="1">
        <v>162941</v>
      </c>
      <c r="F83" s="1">
        <v>50</v>
      </c>
      <c r="G83" s="1" t="s">
        <v>40</v>
      </c>
      <c r="H83" s="1" t="s">
        <v>44</v>
      </c>
      <c r="I83" s="1" t="s">
        <v>78</v>
      </c>
      <c r="J83" s="1">
        <v>2000</v>
      </c>
      <c r="K83" s="1" t="s">
        <v>56</v>
      </c>
      <c r="L83" s="1" t="s">
        <v>83</v>
      </c>
      <c r="M83" s="1" t="s">
        <v>55</v>
      </c>
      <c r="O83" s="1">
        <v>1.1200000000000001</v>
      </c>
      <c r="P83" s="1">
        <v>0.92</v>
      </c>
      <c r="Q83" s="1">
        <v>1.38</v>
      </c>
      <c r="R83" s="2">
        <v>0.95</v>
      </c>
      <c r="S83" s="1" t="s">
        <v>93</v>
      </c>
    </row>
    <row r="84" spans="1:19" x14ac:dyDescent="0.25">
      <c r="A84" s="1" t="s">
        <v>14</v>
      </c>
      <c r="B84" s="1">
        <v>2023</v>
      </c>
      <c r="C84" s="1" t="s">
        <v>19</v>
      </c>
      <c r="D84" s="1" t="s">
        <v>56</v>
      </c>
      <c r="E84" s="1">
        <v>162941</v>
      </c>
      <c r="F84" s="1">
        <v>50</v>
      </c>
      <c r="G84" s="1" t="s">
        <v>40</v>
      </c>
      <c r="H84" s="1" t="s">
        <v>44</v>
      </c>
      <c r="I84" s="1" t="s">
        <v>78</v>
      </c>
      <c r="J84" s="1">
        <v>2000</v>
      </c>
      <c r="K84" s="1" t="s">
        <v>56</v>
      </c>
      <c r="L84" s="1" t="s">
        <v>84</v>
      </c>
      <c r="M84" s="1" t="s">
        <v>55</v>
      </c>
      <c r="O84" s="1">
        <v>0.98</v>
      </c>
      <c r="P84" s="1">
        <v>0.79</v>
      </c>
      <c r="Q84" s="1">
        <v>1.22</v>
      </c>
      <c r="R84" s="2">
        <v>0.95</v>
      </c>
      <c r="S84" s="1" t="s">
        <v>93</v>
      </c>
    </row>
    <row r="85" spans="1:19" x14ac:dyDescent="0.25">
      <c r="A85" s="1" t="s">
        <v>14</v>
      </c>
      <c r="B85" s="1">
        <v>2023</v>
      </c>
      <c r="C85" s="1" t="s">
        <v>19</v>
      </c>
      <c r="D85" s="1" t="s">
        <v>56</v>
      </c>
      <c r="E85" s="1">
        <v>162941</v>
      </c>
      <c r="F85" s="1">
        <v>50</v>
      </c>
      <c r="G85" s="1" t="s">
        <v>40</v>
      </c>
      <c r="H85" s="1" t="s">
        <v>44</v>
      </c>
      <c r="I85" s="1" t="s">
        <v>78</v>
      </c>
      <c r="J85" s="1">
        <v>2000</v>
      </c>
      <c r="K85" s="1" t="s">
        <v>56</v>
      </c>
      <c r="L85" s="1" t="s">
        <v>85</v>
      </c>
      <c r="M85" s="1" t="s">
        <v>55</v>
      </c>
      <c r="O85" s="1">
        <v>1.04</v>
      </c>
      <c r="P85" s="1">
        <v>0.83</v>
      </c>
      <c r="Q85" s="1">
        <v>1.3</v>
      </c>
      <c r="R85" s="2">
        <v>0.95</v>
      </c>
      <c r="S85" s="1" t="s">
        <v>93</v>
      </c>
    </row>
    <row r="86" spans="1:19" x14ac:dyDescent="0.25">
      <c r="A86" s="1" t="s">
        <v>14</v>
      </c>
      <c r="B86" s="1">
        <v>2023</v>
      </c>
      <c r="C86" s="1" t="s">
        <v>19</v>
      </c>
      <c r="D86" s="1" t="s">
        <v>56</v>
      </c>
      <c r="E86" s="1">
        <v>162941</v>
      </c>
      <c r="F86" s="1">
        <v>50</v>
      </c>
      <c r="G86" s="1" t="s">
        <v>40</v>
      </c>
      <c r="H86" s="1" t="s">
        <v>44</v>
      </c>
      <c r="I86" s="1" t="s">
        <v>78</v>
      </c>
      <c r="J86" s="1">
        <v>2000</v>
      </c>
      <c r="K86" s="1" t="s">
        <v>56</v>
      </c>
      <c r="L86" s="1" t="s">
        <v>86</v>
      </c>
      <c r="M86" s="1" t="s">
        <v>55</v>
      </c>
      <c r="O86" s="1">
        <v>1.1499999999999999</v>
      </c>
      <c r="P86" s="1">
        <v>0.92</v>
      </c>
      <c r="Q86" s="1">
        <v>1.45</v>
      </c>
      <c r="R86" s="2">
        <v>0.95</v>
      </c>
      <c r="S86" s="1" t="s">
        <v>93</v>
      </c>
    </row>
    <row r="87" spans="1:19" x14ac:dyDescent="0.25">
      <c r="A87" s="1" t="s">
        <v>14</v>
      </c>
      <c r="B87" s="1">
        <v>2023</v>
      </c>
      <c r="C87" s="1" t="s">
        <v>19</v>
      </c>
      <c r="D87" s="1" t="s">
        <v>56</v>
      </c>
      <c r="E87" s="1">
        <v>162941</v>
      </c>
      <c r="F87" s="1">
        <v>50</v>
      </c>
      <c r="G87" s="1" t="s">
        <v>40</v>
      </c>
      <c r="H87" s="1" t="s">
        <v>44</v>
      </c>
      <c r="I87" s="1" t="s">
        <v>78</v>
      </c>
      <c r="J87" s="1">
        <v>2000</v>
      </c>
      <c r="K87" s="1" t="s">
        <v>56</v>
      </c>
      <c r="L87" s="1" t="s">
        <v>87</v>
      </c>
      <c r="M87" s="1" t="s">
        <v>55</v>
      </c>
      <c r="O87" s="1">
        <v>1.2</v>
      </c>
      <c r="P87" s="1">
        <v>0.98</v>
      </c>
      <c r="Q87" s="1">
        <v>1.48</v>
      </c>
      <c r="R87" s="2">
        <v>0.95</v>
      </c>
      <c r="S87" s="1" t="s">
        <v>93</v>
      </c>
    </row>
    <row r="88" spans="1:19" x14ac:dyDescent="0.25">
      <c r="A88" s="1" t="s">
        <v>14</v>
      </c>
      <c r="B88" s="1">
        <v>2023</v>
      </c>
      <c r="C88" s="1" t="s">
        <v>19</v>
      </c>
      <c r="D88" s="1" t="s">
        <v>56</v>
      </c>
      <c r="E88" s="1">
        <v>162941</v>
      </c>
      <c r="F88" s="1">
        <v>50</v>
      </c>
      <c r="G88" s="1" t="s">
        <v>40</v>
      </c>
      <c r="H88" s="1" t="s">
        <v>44</v>
      </c>
      <c r="I88" s="1" t="s">
        <v>78</v>
      </c>
      <c r="J88" s="1">
        <v>2000</v>
      </c>
      <c r="K88" s="1" t="s">
        <v>56</v>
      </c>
      <c r="L88" s="1" t="s">
        <v>88</v>
      </c>
      <c r="M88" s="1" t="s">
        <v>55</v>
      </c>
      <c r="O88" s="1">
        <v>1.1000000000000001</v>
      </c>
      <c r="P88" s="1">
        <v>0.91</v>
      </c>
      <c r="Q88" s="1">
        <v>1.34</v>
      </c>
      <c r="R88" s="2">
        <v>0.95</v>
      </c>
      <c r="S88" s="1" t="s">
        <v>93</v>
      </c>
    </row>
    <row r="89" spans="1:19" x14ac:dyDescent="0.25">
      <c r="A89" s="1" t="s">
        <v>14</v>
      </c>
      <c r="B89" s="1">
        <v>2023</v>
      </c>
      <c r="C89" s="1" t="s">
        <v>19</v>
      </c>
      <c r="D89" s="1" t="s">
        <v>56</v>
      </c>
      <c r="E89" s="1">
        <v>162941</v>
      </c>
      <c r="F89" s="1">
        <v>50</v>
      </c>
      <c r="G89" s="1" t="s">
        <v>40</v>
      </c>
      <c r="H89" s="1" t="s">
        <v>44</v>
      </c>
      <c r="I89" s="1" t="s">
        <v>78</v>
      </c>
      <c r="J89" s="1">
        <v>2000</v>
      </c>
      <c r="K89" s="1" t="s">
        <v>56</v>
      </c>
      <c r="L89" s="1" t="s">
        <v>89</v>
      </c>
      <c r="M89" s="1" t="s">
        <v>55</v>
      </c>
      <c r="O89" s="1">
        <v>1.1200000000000001</v>
      </c>
      <c r="P89" s="1">
        <v>0.92</v>
      </c>
      <c r="Q89" s="1">
        <v>1.36</v>
      </c>
      <c r="R89" s="2">
        <v>0.95</v>
      </c>
      <c r="S89" s="1" t="s">
        <v>93</v>
      </c>
    </row>
    <row r="90" spans="1:19" x14ac:dyDescent="0.25">
      <c r="A90" s="1" t="s">
        <v>14</v>
      </c>
      <c r="B90" s="1">
        <v>2023</v>
      </c>
      <c r="C90" s="1" t="s">
        <v>19</v>
      </c>
      <c r="D90" s="1" t="s">
        <v>56</v>
      </c>
      <c r="E90" s="1">
        <v>162941</v>
      </c>
      <c r="F90" s="1">
        <v>50</v>
      </c>
      <c r="G90" s="1" t="s">
        <v>40</v>
      </c>
      <c r="H90" s="1" t="s">
        <v>44</v>
      </c>
      <c r="I90" s="1" t="s">
        <v>78</v>
      </c>
      <c r="J90" s="1">
        <v>2000</v>
      </c>
      <c r="K90" s="1" t="s">
        <v>56</v>
      </c>
      <c r="L90" s="1" t="s">
        <v>90</v>
      </c>
      <c r="M90" s="1" t="s">
        <v>55</v>
      </c>
      <c r="O90" s="1">
        <v>1.01</v>
      </c>
      <c r="P90" s="1">
        <v>0.85</v>
      </c>
      <c r="Q90" s="1">
        <v>1.18</v>
      </c>
      <c r="R90" s="2">
        <v>0.95</v>
      </c>
      <c r="S90" s="1" t="s">
        <v>93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C552B-88DF-4D9F-AFEC-1FD8CA2F6DDA}">
  <dimension ref="A1:Z63"/>
  <sheetViews>
    <sheetView tabSelected="1" zoomScaleNormal="100" workbookViewId="0">
      <selection activeCell="A4" sqref="A4"/>
    </sheetView>
  </sheetViews>
  <sheetFormatPr defaultColWidth="9.140625" defaultRowHeight="15" x14ac:dyDescent="0.25"/>
  <cols>
    <col min="1" max="1" width="15.28515625" style="1" customWidth="1"/>
    <col min="2" max="2" width="15.42578125" style="1" customWidth="1"/>
    <col min="3" max="3" width="9.140625" style="1"/>
    <col min="4" max="4" width="18.42578125" style="1" customWidth="1"/>
    <col min="5" max="5" width="16.7109375" style="1" customWidth="1"/>
    <col min="6" max="6" width="22" style="1" customWidth="1"/>
    <col min="7" max="7" width="12.28515625" style="1" customWidth="1"/>
    <col min="8" max="8" width="20.7109375" style="1" customWidth="1"/>
    <col min="9" max="9" width="38.42578125" style="1" customWidth="1"/>
    <col min="10" max="10" width="11.7109375" style="1" customWidth="1"/>
    <col min="11" max="11" width="14.140625" style="1" customWidth="1"/>
    <col min="12" max="12" width="16.140625" style="1" customWidth="1"/>
    <col min="13" max="13" width="13.5703125" style="1" customWidth="1"/>
    <col min="14" max="14" width="12.28515625" style="1" customWidth="1"/>
    <col min="15" max="15" width="29.85546875" style="1" customWidth="1"/>
    <col min="16" max="16" width="17.5703125" style="1" customWidth="1"/>
    <col min="17" max="18" width="30.42578125" style="1" customWidth="1"/>
    <col min="19" max="19" width="9.140625" style="1"/>
    <col min="20" max="21" width="30" style="1" customWidth="1"/>
    <col min="22" max="22" width="15.28515625" style="1" customWidth="1"/>
    <col min="23" max="24" width="14.5703125" style="1" customWidth="1"/>
    <col min="25" max="25" width="26.7109375" style="1" customWidth="1"/>
    <col min="26" max="26" width="12.7109375" style="1" customWidth="1"/>
    <col min="27" max="16384" width="9.140625" style="1"/>
  </cols>
  <sheetData>
    <row r="1" spans="1:26" x14ac:dyDescent="0.25">
      <c r="A1" s="1" t="s">
        <v>0</v>
      </c>
      <c r="B1" s="1" t="s">
        <v>37</v>
      </c>
      <c r="C1" s="1" t="s">
        <v>17</v>
      </c>
      <c r="D1" s="1" t="s">
        <v>2</v>
      </c>
      <c r="E1" s="1" t="s">
        <v>25</v>
      </c>
      <c r="F1" s="1" t="s">
        <v>26</v>
      </c>
      <c r="G1" s="1" t="s">
        <v>1</v>
      </c>
      <c r="H1" s="1" t="s">
        <v>39</v>
      </c>
      <c r="I1" s="1" t="s">
        <v>27</v>
      </c>
      <c r="J1" s="1" t="s">
        <v>29</v>
      </c>
      <c r="K1" s="1" t="s">
        <v>38</v>
      </c>
      <c r="L1" s="1" t="s">
        <v>54</v>
      </c>
      <c r="M1" s="1" t="s">
        <v>30</v>
      </c>
      <c r="N1" s="1" t="s">
        <v>94</v>
      </c>
      <c r="O1" s="1" t="s">
        <v>95</v>
      </c>
      <c r="P1" s="1" t="s">
        <v>96</v>
      </c>
      <c r="Q1" s="1" t="s">
        <v>97</v>
      </c>
      <c r="R1" s="1" t="s">
        <v>102</v>
      </c>
      <c r="S1" s="1" t="s">
        <v>98</v>
      </c>
      <c r="T1" s="1" t="s">
        <v>100</v>
      </c>
      <c r="U1" s="1" t="s">
        <v>103</v>
      </c>
      <c r="V1" s="1" t="s">
        <v>99</v>
      </c>
      <c r="W1" s="1" t="s">
        <v>101</v>
      </c>
      <c r="X1" s="1" t="s">
        <v>104</v>
      </c>
      <c r="Y1" s="1" t="s">
        <v>45</v>
      </c>
      <c r="Z1" s="1" t="s">
        <v>91</v>
      </c>
    </row>
    <row r="2" spans="1:26" x14ac:dyDescent="0.25">
      <c r="A2" s="1" t="s">
        <v>4</v>
      </c>
      <c r="B2" s="1">
        <v>2015</v>
      </c>
      <c r="C2" s="1" t="s">
        <v>18</v>
      </c>
      <c r="D2" s="1">
        <v>2012</v>
      </c>
      <c r="E2" s="1">
        <v>12117</v>
      </c>
      <c r="F2" s="1">
        <v>21</v>
      </c>
      <c r="G2" s="1" t="s">
        <v>40</v>
      </c>
      <c r="H2" s="1" t="s">
        <v>41</v>
      </c>
      <c r="I2" s="1" t="s">
        <v>28</v>
      </c>
      <c r="J2" s="1">
        <v>500</v>
      </c>
      <c r="K2" s="1">
        <v>2012</v>
      </c>
      <c r="M2" s="1" t="s">
        <v>31</v>
      </c>
      <c r="N2" s="1">
        <v>46034</v>
      </c>
      <c r="O2" s="1">
        <v>861</v>
      </c>
      <c r="P2" s="1">
        <v>1.1599999999999999</v>
      </c>
      <c r="Q2" s="1">
        <f>Table1[[#This Row],[Verwacht_longontsteking]]*Table1[[#This Row],[OR]]</f>
        <v>998.75999999999988</v>
      </c>
      <c r="R2" s="1">
        <f>Table1[[#This Row],[Geschat_longontsteking]]-Table1[[#This Row],[Verwacht_longontsteking]]</f>
        <v>137.75999999999988</v>
      </c>
      <c r="S2" s="1">
        <v>0.94</v>
      </c>
      <c r="T2" s="1">
        <f>Table1[[#This Row],[Verwacht_longontsteking]]*S2</f>
        <v>809.33999999999992</v>
      </c>
      <c r="U2" s="1">
        <f>Table1[[#This Row],[Geschat_longontsteking_laag]]-Table1[[#This Row],[Verwacht_longontsteking]]</f>
        <v>-51.660000000000082</v>
      </c>
      <c r="V2" s="1">
        <v>1.44</v>
      </c>
      <c r="W2" s="1">
        <f>Table1[[#This Row],[Verwacht_longontsteking]]*V2</f>
        <v>1239.8399999999999</v>
      </c>
      <c r="X2" s="1">
        <f>Table1[[#This Row],[Geschat_longontsteking_hoog]]-Table1[[#This Row],[Verwacht_longontsteking]]</f>
        <v>378.83999999999992</v>
      </c>
      <c r="Y2" s="2">
        <v>0.95</v>
      </c>
      <c r="Z2" s="1" t="s">
        <v>93</v>
      </c>
    </row>
    <row r="3" spans="1:26" x14ac:dyDescent="0.25">
      <c r="A3" s="1" t="s">
        <v>11</v>
      </c>
      <c r="B3" s="1">
        <v>2019</v>
      </c>
      <c r="C3" s="1" t="s">
        <v>19</v>
      </c>
      <c r="D3" s="1" t="s">
        <v>23</v>
      </c>
      <c r="E3" s="1">
        <v>90183</v>
      </c>
      <c r="F3" s="1">
        <v>23</v>
      </c>
      <c r="G3" s="1" t="s">
        <v>40</v>
      </c>
      <c r="H3" s="1" t="s">
        <v>44</v>
      </c>
      <c r="I3" s="1" t="s">
        <v>36</v>
      </c>
      <c r="J3" s="1">
        <v>500</v>
      </c>
      <c r="K3" s="1">
        <v>2014</v>
      </c>
      <c r="M3" s="1" t="s">
        <v>31</v>
      </c>
      <c r="N3" s="1">
        <v>46034</v>
      </c>
      <c r="O3" s="1">
        <v>861</v>
      </c>
      <c r="P3" s="1">
        <v>2.04</v>
      </c>
      <c r="Q3" s="1">
        <f>Table1[[#This Row],[Verwacht_longontsteking]]*Table1[[#This Row],[OR]]</f>
        <v>1756.44</v>
      </c>
      <c r="R3" s="1">
        <f>Table1[[#This Row],[Geschat_longontsteking]]-Table1[[#This Row],[Verwacht_longontsteking]]</f>
        <v>895.44</v>
      </c>
      <c r="S3" s="1">
        <v>1</v>
      </c>
      <c r="T3" s="1">
        <f>Table1[[#This Row],[Verwacht_longontsteking]]*S3</f>
        <v>861</v>
      </c>
      <c r="U3" s="1">
        <f>Table1[[#This Row],[Geschat_longontsteking_laag]]-Table1[[#This Row],[Verwacht_longontsteking]]</f>
        <v>0</v>
      </c>
      <c r="V3" s="1">
        <v>4.16</v>
      </c>
      <c r="W3" s="1">
        <f>Table1[[#This Row],[Verwacht_longontsteking]]*V3</f>
        <v>3581.76</v>
      </c>
      <c r="X3" s="1">
        <f>Table1[[#This Row],[Geschat_longontsteking_hoog]]-Table1[[#This Row],[Verwacht_longontsteking]]</f>
        <v>2720.76</v>
      </c>
      <c r="Y3" s="2">
        <v>0.95</v>
      </c>
      <c r="Z3" s="1" t="s">
        <v>93</v>
      </c>
    </row>
    <row r="4" spans="1:26" x14ac:dyDescent="0.25">
      <c r="A4" s="1" t="s">
        <v>11</v>
      </c>
      <c r="B4" s="1">
        <v>2019</v>
      </c>
      <c r="C4" s="1" t="s">
        <v>19</v>
      </c>
      <c r="D4" s="1" t="s">
        <v>23</v>
      </c>
      <c r="E4" s="1">
        <v>90183</v>
      </c>
      <c r="F4" s="1">
        <v>23</v>
      </c>
      <c r="G4" s="1" t="s">
        <v>40</v>
      </c>
      <c r="H4" s="1" t="s">
        <v>44</v>
      </c>
      <c r="I4" s="1" t="s">
        <v>35</v>
      </c>
      <c r="J4" s="1">
        <v>500</v>
      </c>
      <c r="K4" s="1">
        <v>2014</v>
      </c>
      <c r="M4" s="1" t="s">
        <v>31</v>
      </c>
      <c r="N4" s="1">
        <v>46034</v>
      </c>
      <c r="O4" s="1">
        <v>861</v>
      </c>
      <c r="P4" s="1">
        <v>1.31</v>
      </c>
      <c r="Q4" s="1">
        <f>Table1[[#This Row],[Verwacht_longontsteking]]*Table1[[#This Row],[OR]]</f>
        <v>1127.9100000000001</v>
      </c>
      <c r="R4" s="1">
        <f>Table1[[#This Row],[Geschat_longontsteking]]-Table1[[#This Row],[Verwacht_longontsteking]]</f>
        <v>266.91000000000008</v>
      </c>
      <c r="S4" s="1">
        <v>0.9</v>
      </c>
      <c r="T4" s="1">
        <f>Table1[[#This Row],[Verwacht_longontsteking]]*S4</f>
        <v>774.9</v>
      </c>
      <c r="U4" s="1">
        <f>Table1[[#This Row],[Geschat_longontsteking_laag]]-Table1[[#This Row],[Verwacht_longontsteking]]</f>
        <v>-86.100000000000023</v>
      </c>
      <c r="V4" s="1">
        <v>1.9</v>
      </c>
      <c r="W4" s="1">
        <f>Table1[[#This Row],[Verwacht_longontsteking]]*V4</f>
        <v>1635.8999999999999</v>
      </c>
      <c r="X4" s="1">
        <f>Table1[[#This Row],[Geschat_longontsteking_hoog]]-Table1[[#This Row],[Verwacht_longontsteking]]</f>
        <v>774.89999999999986</v>
      </c>
      <c r="Y4" s="2">
        <v>0.95</v>
      </c>
      <c r="Z4" s="1" t="s">
        <v>93</v>
      </c>
    </row>
    <row r="5" spans="1:26" x14ac:dyDescent="0.25">
      <c r="A5" s="1" t="s">
        <v>13</v>
      </c>
      <c r="B5" s="1">
        <v>2023</v>
      </c>
      <c r="C5" s="1" t="s">
        <v>19</v>
      </c>
      <c r="D5" s="1" t="s">
        <v>24</v>
      </c>
      <c r="E5" s="1">
        <v>13400</v>
      </c>
      <c r="F5" s="1">
        <v>43</v>
      </c>
      <c r="G5" s="1" t="s">
        <v>46</v>
      </c>
      <c r="H5" s="1" t="s">
        <v>44</v>
      </c>
      <c r="I5" s="1" t="s">
        <v>36</v>
      </c>
      <c r="J5" s="1">
        <v>500</v>
      </c>
      <c r="K5" s="1">
        <v>2014</v>
      </c>
      <c r="M5" s="1" t="s">
        <v>31</v>
      </c>
      <c r="N5" s="1">
        <v>46034</v>
      </c>
      <c r="O5" s="1">
        <v>861</v>
      </c>
      <c r="P5" s="1">
        <v>1.49</v>
      </c>
      <c r="Q5" s="1">
        <f>Table1[[#This Row],[Verwacht_longontsteking]]*Table1[[#This Row],[OR]]</f>
        <v>1282.8900000000001</v>
      </c>
      <c r="R5" s="1">
        <f>Table1[[#This Row],[Geschat_longontsteking]]-Table1[[#This Row],[Verwacht_longontsteking]]</f>
        <v>421.8900000000001</v>
      </c>
      <c r="S5" s="1">
        <v>0.88</v>
      </c>
      <c r="T5" s="1">
        <f>Table1[[#This Row],[Verwacht_longontsteking]]*S5</f>
        <v>757.68</v>
      </c>
      <c r="U5" s="1">
        <f>Table1[[#This Row],[Geschat_longontsteking_laag]]-Table1[[#This Row],[Verwacht_longontsteking]]</f>
        <v>-103.32000000000005</v>
      </c>
      <c r="V5" s="1">
        <v>2.5299999999999998</v>
      </c>
      <c r="W5" s="1">
        <f>Table1[[#This Row],[Verwacht_longontsteking]]*V5</f>
        <v>2178.33</v>
      </c>
      <c r="X5" s="1">
        <f>Table1[[#This Row],[Geschat_longontsteking_hoog]]-Table1[[#This Row],[Verwacht_longontsteking]]</f>
        <v>1317.33</v>
      </c>
      <c r="Y5" s="2">
        <v>0.95</v>
      </c>
      <c r="Z5" s="1" t="s">
        <v>93</v>
      </c>
    </row>
    <row r="6" spans="1:26" x14ac:dyDescent="0.25">
      <c r="A6" s="1" t="s">
        <v>11</v>
      </c>
      <c r="B6" s="1">
        <v>2019</v>
      </c>
      <c r="C6" s="1" t="s">
        <v>19</v>
      </c>
      <c r="D6" s="1" t="s">
        <v>23</v>
      </c>
      <c r="E6" s="1">
        <v>90183</v>
      </c>
      <c r="F6" s="1">
        <v>23</v>
      </c>
      <c r="G6" s="1" t="s">
        <v>40</v>
      </c>
      <c r="H6" s="1" t="s">
        <v>44</v>
      </c>
      <c r="I6" s="1" t="s">
        <v>36</v>
      </c>
      <c r="J6" s="1">
        <v>500</v>
      </c>
      <c r="K6" s="1">
        <v>2015</v>
      </c>
      <c r="M6" s="1" t="s">
        <v>31</v>
      </c>
      <c r="N6" s="1">
        <v>46034</v>
      </c>
      <c r="O6" s="1">
        <v>861</v>
      </c>
      <c r="P6" s="1">
        <v>1.54</v>
      </c>
      <c r="Q6" s="1">
        <f>Table1[[#This Row],[Verwacht_longontsteking]]*Table1[[#This Row],[OR]]</f>
        <v>1325.94</v>
      </c>
      <c r="R6" s="1">
        <f>Table1[[#This Row],[Geschat_longontsteking]]-Table1[[#This Row],[Verwacht_longontsteking]]</f>
        <v>464.94000000000005</v>
      </c>
      <c r="S6" s="1">
        <v>1.0900000000000001</v>
      </c>
      <c r="T6" s="1">
        <f>Table1[[#This Row],[Verwacht_longontsteking]]*S6</f>
        <v>938.49000000000012</v>
      </c>
      <c r="U6" s="1">
        <f>Table1[[#This Row],[Geschat_longontsteking_laag]]-Table1[[#This Row],[Verwacht_longontsteking]]</f>
        <v>77.490000000000123</v>
      </c>
      <c r="V6" s="1">
        <v>2.17</v>
      </c>
      <c r="W6" s="1">
        <f>Table1[[#This Row],[Verwacht_longontsteking]]*V6</f>
        <v>1868.37</v>
      </c>
      <c r="X6" s="1">
        <f>Table1[[#This Row],[Geschat_longontsteking_hoog]]-Table1[[#This Row],[Verwacht_longontsteking]]</f>
        <v>1007.3699999999999</v>
      </c>
      <c r="Y6" s="2">
        <v>0.95</v>
      </c>
      <c r="Z6" s="1" t="s">
        <v>92</v>
      </c>
    </row>
    <row r="7" spans="1:26" x14ac:dyDescent="0.25">
      <c r="A7" s="1" t="s">
        <v>11</v>
      </c>
      <c r="B7" s="1">
        <v>2019</v>
      </c>
      <c r="C7" s="1" t="s">
        <v>19</v>
      </c>
      <c r="D7" s="1" t="s">
        <v>23</v>
      </c>
      <c r="E7" s="1">
        <v>90183</v>
      </c>
      <c r="F7" s="1">
        <v>23</v>
      </c>
      <c r="G7" s="1" t="s">
        <v>40</v>
      </c>
      <c r="H7" s="1" t="s">
        <v>44</v>
      </c>
      <c r="I7" s="1" t="s">
        <v>35</v>
      </c>
      <c r="J7" s="1">
        <v>500</v>
      </c>
      <c r="K7" s="1">
        <v>2015</v>
      </c>
      <c r="M7" s="1" t="s">
        <v>31</v>
      </c>
      <c r="N7" s="1">
        <v>46034</v>
      </c>
      <c r="O7" s="1">
        <v>861</v>
      </c>
      <c r="P7" s="1">
        <v>1.35</v>
      </c>
      <c r="Q7" s="1">
        <f>Table1[[#This Row],[Verwacht_longontsteking]]*Table1[[#This Row],[OR]]</f>
        <v>1162.3500000000001</v>
      </c>
      <c r="R7" s="1">
        <f>Table1[[#This Row],[Geschat_longontsteking]]-Table1[[#This Row],[Verwacht_longontsteking]]</f>
        <v>301.35000000000014</v>
      </c>
      <c r="S7" s="1">
        <v>0.96</v>
      </c>
      <c r="T7" s="1">
        <f>Table1[[#This Row],[Verwacht_longontsteking]]*S7</f>
        <v>826.56</v>
      </c>
      <c r="U7" s="1">
        <f>Table1[[#This Row],[Geschat_longontsteking_laag]]-Table1[[#This Row],[Verwacht_longontsteking]]</f>
        <v>-34.440000000000055</v>
      </c>
      <c r="V7" s="1">
        <v>1.9</v>
      </c>
      <c r="W7" s="1">
        <f>Table1[[#This Row],[Verwacht_longontsteking]]*V7</f>
        <v>1635.8999999999999</v>
      </c>
      <c r="X7" s="1">
        <f>Table1[[#This Row],[Geschat_longontsteking_hoog]]-Table1[[#This Row],[Verwacht_longontsteking]]</f>
        <v>774.89999999999986</v>
      </c>
      <c r="Y7" s="2">
        <v>0.95</v>
      </c>
      <c r="Z7" s="1" t="s">
        <v>93</v>
      </c>
    </row>
    <row r="8" spans="1:26" x14ac:dyDescent="0.25">
      <c r="A8" s="1" t="s">
        <v>13</v>
      </c>
      <c r="B8" s="1">
        <v>2023</v>
      </c>
      <c r="C8" s="1" t="s">
        <v>19</v>
      </c>
      <c r="D8" s="1" t="s">
        <v>24</v>
      </c>
      <c r="E8" s="1">
        <v>13400</v>
      </c>
      <c r="F8" s="1">
        <v>43</v>
      </c>
      <c r="G8" s="1" t="s">
        <v>46</v>
      </c>
      <c r="H8" s="1" t="s">
        <v>44</v>
      </c>
      <c r="I8" s="1" t="s">
        <v>36</v>
      </c>
      <c r="J8" s="1">
        <v>500</v>
      </c>
      <c r="K8" s="1">
        <v>2015</v>
      </c>
      <c r="M8" s="1" t="s">
        <v>31</v>
      </c>
      <c r="N8" s="1">
        <v>46034</v>
      </c>
      <c r="O8" s="1">
        <v>861</v>
      </c>
      <c r="P8" s="1">
        <v>1.37</v>
      </c>
      <c r="Q8" s="1">
        <f>Table1[[#This Row],[Verwacht_longontsteking]]*Table1[[#This Row],[OR]]</f>
        <v>1179.5700000000002</v>
      </c>
      <c r="R8" s="1">
        <f>Table1[[#This Row],[Geschat_longontsteking]]-Table1[[#This Row],[Verwacht_longontsteking]]</f>
        <v>318.57000000000016</v>
      </c>
      <c r="S8" s="1">
        <v>0.81</v>
      </c>
      <c r="T8" s="1">
        <f>Table1[[#This Row],[Verwacht_longontsteking]]*S8</f>
        <v>697.41000000000008</v>
      </c>
      <c r="U8" s="1">
        <f>Table1[[#This Row],[Geschat_longontsteking_laag]]-Table1[[#This Row],[Verwacht_longontsteking]]</f>
        <v>-163.58999999999992</v>
      </c>
      <c r="V8" s="1">
        <v>2.3199999999999998</v>
      </c>
      <c r="W8" s="1">
        <f>Table1[[#This Row],[Verwacht_longontsteking]]*V8</f>
        <v>1997.5199999999998</v>
      </c>
      <c r="X8" s="1">
        <f>Table1[[#This Row],[Geschat_longontsteking_hoog]]-Table1[[#This Row],[Verwacht_longontsteking]]</f>
        <v>1136.5199999999998</v>
      </c>
      <c r="Y8" s="2">
        <v>0.95</v>
      </c>
      <c r="Z8" s="1" t="s">
        <v>93</v>
      </c>
    </row>
    <row r="9" spans="1:26" x14ac:dyDescent="0.25">
      <c r="A9" s="1" t="s">
        <v>11</v>
      </c>
      <c r="B9" s="1">
        <v>2019</v>
      </c>
      <c r="C9" s="1" t="s">
        <v>19</v>
      </c>
      <c r="D9" s="1" t="s">
        <v>23</v>
      </c>
      <c r="E9" s="1">
        <v>90183</v>
      </c>
      <c r="F9" s="1">
        <v>23</v>
      </c>
      <c r="G9" s="1" t="s">
        <v>40</v>
      </c>
      <c r="H9" s="1" t="s">
        <v>44</v>
      </c>
      <c r="I9" s="1" t="s">
        <v>36</v>
      </c>
      <c r="J9" s="1">
        <v>500</v>
      </c>
      <c r="K9" s="1">
        <v>2016</v>
      </c>
      <c r="M9" s="1" t="s">
        <v>31</v>
      </c>
      <c r="N9" s="1">
        <v>46034</v>
      </c>
      <c r="O9" s="1">
        <v>861</v>
      </c>
      <c r="P9" s="1">
        <v>1.39</v>
      </c>
      <c r="Q9" s="1">
        <f>Table1[[#This Row],[Verwacht_longontsteking]]*Table1[[#This Row],[OR]]</f>
        <v>1196.79</v>
      </c>
      <c r="R9" s="1">
        <f>Table1[[#This Row],[Geschat_longontsteking]]-Table1[[#This Row],[Verwacht_longontsteking]]</f>
        <v>335.78999999999996</v>
      </c>
      <c r="S9" s="1">
        <v>0.97</v>
      </c>
      <c r="T9" s="1">
        <f>Table1[[#This Row],[Verwacht_longontsteking]]*S9</f>
        <v>835.17</v>
      </c>
      <c r="U9" s="1">
        <f>Table1[[#This Row],[Geschat_longontsteking_laag]]-Table1[[#This Row],[Verwacht_longontsteking]]</f>
        <v>-25.830000000000041</v>
      </c>
      <c r="V9" s="1">
        <v>2.0099999999999998</v>
      </c>
      <c r="W9" s="1">
        <f>Table1[[#This Row],[Verwacht_longontsteking]]*V9</f>
        <v>1730.61</v>
      </c>
      <c r="X9" s="1">
        <f>Table1[[#This Row],[Geschat_longontsteking_hoog]]-Table1[[#This Row],[Verwacht_longontsteking]]</f>
        <v>869.6099999999999</v>
      </c>
      <c r="Y9" s="2">
        <v>0.95</v>
      </c>
      <c r="Z9" s="1" t="s">
        <v>93</v>
      </c>
    </row>
    <row r="10" spans="1:26" x14ac:dyDescent="0.25">
      <c r="A10" s="1" t="s">
        <v>11</v>
      </c>
      <c r="B10" s="1">
        <v>2019</v>
      </c>
      <c r="C10" s="1" t="s">
        <v>19</v>
      </c>
      <c r="D10" s="1" t="s">
        <v>23</v>
      </c>
      <c r="E10" s="1">
        <v>90183</v>
      </c>
      <c r="F10" s="1">
        <v>23</v>
      </c>
      <c r="G10" s="1" t="s">
        <v>40</v>
      </c>
      <c r="H10" s="1" t="s">
        <v>44</v>
      </c>
      <c r="I10" s="1" t="s">
        <v>35</v>
      </c>
      <c r="J10" s="1">
        <v>500</v>
      </c>
      <c r="K10" s="1">
        <v>2016</v>
      </c>
      <c r="M10" s="1" t="s">
        <v>31</v>
      </c>
      <c r="N10" s="1">
        <v>46034</v>
      </c>
      <c r="O10" s="1">
        <v>861</v>
      </c>
      <c r="P10" s="1">
        <v>1.3</v>
      </c>
      <c r="Q10" s="1">
        <f>Table1[[#This Row],[Verwacht_longontsteking]]*Table1[[#This Row],[OR]]</f>
        <v>1119.3</v>
      </c>
      <c r="R10" s="1">
        <f>Table1[[#This Row],[Geschat_longontsteking]]-Table1[[#This Row],[Verwacht_longontsteking]]</f>
        <v>258.29999999999995</v>
      </c>
      <c r="S10" s="1">
        <v>0.91</v>
      </c>
      <c r="T10" s="1">
        <f>Table1[[#This Row],[Verwacht_longontsteking]]*S10</f>
        <v>783.51</v>
      </c>
      <c r="U10" s="1">
        <f>Table1[[#This Row],[Geschat_longontsteking_laag]]-Table1[[#This Row],[Verwacht_longontsteking]]</f>
        <v>-77.490000000000009</v>
      </c>
      <c r="V10" s="1">
        <v>1.85</v>
      </c>
      <c r="W10" s="1">
        <f>Table1[[#This Row],[Verwacht_longontsteking]]*V10</f>
        <v>1592.8500000000001</v>
      </c>
      <c r="X10" s="1">
        <f>Table1[[#This Row],[Geschat_longontsteking_hoog]]-Table1[[#This Row],[Verwacht_longontsteking]]</f>
        <v>731.85000000000014</v>
      </c>
      <c r="Y10" s="2">
        <v>0.95</v>
      </c>
      <c r="Z10" s="1" t="s">
        <v>93</v>
      </c>
    </row>
    <row r="11" spans="1:26" x14ac:dyDescent="0.25">
      <c r="A11" s="1" t="s">
        <v>13</v>
      </c>
      <c r="B11" s="1">
        <v>2023</v>
      </c>
      <c r="C11" s="1" t="s">
        <v>19</v>
      </c>
      <c r="D11" s="1" t="s">
        <v>24</v>
      </c>
      <c r="E11" s="1">
        <v>13400</v>
      </c>
      <c r="F11" s="1">
        <v>43</v>
      </c>
      <c r="G11" s="1" t="s">
        <v>46</v>
      </c>
      <c r="H11" s="1" t="s">
        <v>44</v>
      </c>
      <c r="I11" s="1" t="s">
        <v>36</v>
      </c>
      <c r="J11" s="1">
        <v>500</v>
      </c>
      <c r="K11" s="1">
        <v>2016</v>
      </c>
      <c r="M11" s="1" t="s">
        <v>31</v>
      </c>
      <c r="N11" s="1">
        <v>46034</v>
      </c>
      <c r="O11" s="1">
        <v>861</v>
      </c>
      <c r="P11" s="1">
        <v>1.3</v>
      </c>
      <c r="Q11" s="1">
        <f>Table1[[#This Row],[Verwacht_longontsteking]]*Table1[[#This Row],[OR]]</f>
        <v>1119.3</v>
      </c>
      <c r="R11" s="1">
        <f>Table1[[#This Row],[Geschat_longontsteking]]-Table1[[#This Row],[Verwacht_longontsteking]]</f>
        <v>258.29999999999995</v>
      </c>
      <c r="S11" s="1">
        <v>0.85</v>
      </c>
      <c r="T11" s="1">
        <f>Table1[[#This Row],[Verwacht_longontsteking]]*S11</f>
        <v>731.85</v>
      </c>
      <c r="U11" s="1">
        <f>Table1[[#This Row],[Geschat_longontsteking_laag]]-Table1[[#This Row],[Verwacht_longontsteking]]</f>
        <v>-129.14999999999998</v>
      </c>
      <c r="V11" s="1">
        <v>2</v>
      </c>
      <c r="W11" s="1">
        <f>Table1[[#This Row],[Verwacht_longontsteking]]*V11</f>
        <v>1722</v>
      </c>
      <c r="X11" s="1">
        <f>Table1[[#This Row],[Geschat_longontsteking_hoog]]-Table1[[#This Row],[Verwacht_longontsteking]]</f>
        <v>861</v>
      </c>
      <c r="Y11" s="2">
        <v>0.95</v>
      </c>
      <c r="Z11" s="1" t="s">
        <v>93</v>
      </c>
    </row>
    <row r="12" spans="1:26" x14ac:dyDescent="0.25">
      <c r="A12" s="1" t="s">
        <v>13</v>
      </c>
      <c r="B12" s="1">
        <v>2023</v>
      </c>
      <c r="C12" s="1" t="s">
        <v>19</v>
      </c>
      <c r="D12" s="1" t="s">
        <v>24</v>
      </c>
      <c r="E12" s="1">
        <v>13400</v>
      </c>
      <c r="F12" s="1">
        <v>43</v>
      </c>
      <c r="G12" s="1" t="s">
        <v>46</v>
      </c>
      <c r="H12" s="1" t="s">
        <v>44</v>
      </c>
      <c r="I12" s="1" t="s">
        <v>36</v>
      </c>
      <c r="J12" s="1">
        <v>500</v>
      </c>
      <c r="K12" s="1">
        <v>2017</v>
      </c>
      <c r="M12" s="1" t="s">
        <v>31</v>
      </c>
      <c r="N12" s="1">
        <v>46034</v>
      </c>
      <c r="O12" s="1">
        <v>861</v>
      </c>
      <c r="P12" s="1">
        <v>1.32</v>
      </c>
      <c r="Q12" s="1">
        <f>Table1[[#This Row],[Verwacht_longontsteking]]*Table1[[#This Row],[OR]]</f>
        <v>1136.52</v>
      </c>
      <c r="R12" s="1">
        <f>Table1[[#This Row],[Geschat_longontsteking]]-Table1[[#This Row],[Verwacht_longontsteking]]</f>
        <v>275.52</v>
      </c>
      <c r="S12" s="1">
        <v>0.86</v>
      </c>
      <c r="T12" s="1">
        <f>Table1[[#This Row],[Verwacht_longontsteking]]*S12</f>
        <v>740.46</v>
      </c>
      <c r="U12" s="1">
        <f>Table1[[#This Row],[Geschat_longontsteking_laag]]-Table1[[#This Row],[Verwacht_longontsteking]]</f>
        <v>-120.53999999999996</v>
      </c>
      <c r="V12" s="1">
        <v>2.0299999999999998</v>
      </c>
      <c r="W12" s="1">
        <f>Table1[[#This Row],[Verwacht_longontsteking]]*V12</f>
        <v>1747.83</v>
      </c>
      <c r="X12" s="1">
        <f>Table1[[#This Row],[Geschat_longontsteking_hoog]]-Table1[[#This Row],[Verwacht_longontsteking]]</f>
        <v>886.82999999999993</v>
      </c>
      <c r="Y12" s="2">
        <v>0.95</v>
      </c>
      <c r="Z12" s="1" t="s">
        <v>93</v>
      </c>
    </row>
    <row r="13" spans="1:26" x14ac:dyDescent="0.25">
      <c r="A13" s="1" t="s">
        <v>10</v>
      </c>
      <c r="B13" s="1">
        <v>2018</v>
      </c>
      <c r="C13" s="1" t="s">
        <v>18</v>
      </c>
      <c r="D13" s="1" t="s">
        <v>22</v>
      </c>
      <c r="E13" s="1">
        <v>941</v>
      </c>
      <c r="G13" s="1" t="s">
        <v>40</v>
      </c>
      <c r="H13" s="1" t="s">
        <v>41</v>
      </c>
      <c r="I13" s="1" t="s">
        <v>28</v>
      </c>
      <c r="J13" s="1">
        <v>500</v>
      </c>
      <c r="K13" s="1" t="s">
        <v>22</v>
      </c>
      <c r="M13" s="1" t="s">
        <v>31</v>
      </c>
      <c r="N13" s="1">
        <v>46034</v>
      </c>
      <c r="O13" s="1">
        <v>861</v>
      </c>
      <c r="P13" s="1">
        <v>6.2</v>
      </c>
      <c r="Q13" s="1">
        <f>Table1[[#This Row],[Verwacht_longontsteking]]*Table1[[#This Row],[OR]]</f>
        <v>5338.2</v>
      </c>
      <c r="R13" s="1">
        <f>Table1[[#This Row],[Geschat_longontsteking]]-Table1[[#This Row],[Verwacht_longontsteking]]</f>
        <v>4477.2</v>
      </c>
      <c r="S13" s="1">
        <v>2.2000000000000002</v>
      </c>
      <c r="T13" s="1">
        <f>Table1[[#This Row],[Verwacht_longontsteking]]*S13</f>
        <v>1894.2</v>
      </c>
      <c r="U13" s="1">
        <f>Table1[[#This Row],[Geschat_longontsteking_laag]]-Table1[[#This Row],[Verwacht_longontsteking]]</f>
        <v>1033.2</v>
      </c>
      <c r="V13" s="1">
        <v>16.5</v>
      </c>
      <c r="W13" s="1">
        <f>Table1[[#This Row],[Verwacht_longontsteking]]*V13</f>
        <v>14206.5</v>
      </c>
      <c r="X13" s="1">
        <f>Table1[[#This Row],[Geschat_longontsteking_hoog]]-Table1[[#This Row],[Verwacht_longontsteking]]</f>
        <v>13345.5</v>
      </c>
      <c r="Y13" s="2">
        <v>0.95</v>
      </c>
      <c r="Z13" s="1" t="s">
        <v>92</v>
      </c>
    </row>
    <row r="14" spans="1:26" x14ac:dyDescent="0.25">
      <c r="A14" s="1" t="s">
        <v>7</v>
      </c>
      <c r="B14" s="1">
        <v>2017</v>
      </c>
      <c r="C14" s="1" t="s">
        <v>18</v>
      </c>
      <c r="D14" s="1" t="s">
        <v>16</v>
      </c>
      <c r="E14" s="1">
        <v>2426</v>
      </c>
      <c r="G14" s="1" t="s">
        <v>40</v>
      </c>
      <c r="H14" s="1" t="s">
        <v>41</v>
      </c>
      <c r="I14" s="1" t="s">
        <v>28</v>
      </c>
      <c r="J14" s="1">
        <v>500</v>
      </c>
      <c r="K14" s="1" t="s">
        <v>16</v>
      </c>
      <c r="M14" s="1" t="s">
        <v>31</v>
      </c>
      <c r="N14" s="1">
        <v>46034</v>
      </c>
      <c r="O14" s="1">
        <v>861</v>
      </c>
      <c r="P14" s="1">
        <v>4.4000000000000004</v>
      </c>
      <c r="Q14" s="1">
        <f>Table1[[#This Row],[Verwacht_longontsteking]]*Table1[[#This Row],[OR]]</f>
        <v>3788.4</v>
      </c>
      <c r="R14" s="1">
        <f>Table1[[#This Row],[Geschat_longontsteking]]-Table1[[#This Row],[Verwacht_longontsteking]]</f>
        <v>2927.4</v>
      </c>
      <c r="S14" s="1">
        <v>2</v>
      </c>
      <c r="T14" s="1">
        <f>Table1[[#This Row],[Verwacht_longontsteking]]*S14</f>
        <v>1722</v>
      </c>
      <c r="U14" s="1">
        <f>Table1[[#This Row],[Geschat_longontsteking_laag]]-Table1[[#This Row],[Verwacht_longontsteking]]</f>
        <v>861</v>
      </c>
      <c r="V14" s="1">
        <v>9.8000000000000007</v>
      </c>
      <c r="W14" s="1">
        <f>Table1[[#This Row],[Verwacht_longontsteking]]*V14</f>
        <v>8437.8000000000011</v>
      </c>
      <c r="X14" s="1">
        <f>Table1[[#This Row],[Geschat_longontsteking_hoog]]-Table1[[#This Row],[Verwacht_longontsteking]]</f>
        <v>7576.8000000000011</v>
      </c>
      <c r="Y14" s="2">
        <v>0.95</v>
      </c>
      <c r="Z14" s="1" t="s">
        <v>92</v>
      </c>
    </row>
    <row r="15" spans="1:26" x14ac:dyDescent="0.25">
      <c r="A15" s="1" t="s">
        <v>11</v>
      </c>
      <c r="B15" s="1">
        <v>2019</v>
      </c>
      <c r="C15" s="1" t="s">
        <v>19</v>
      </c>
      <c r="D15" s="1" t="s">
        <v>23</v>
      </c>
      <c r="E15" s="1">
        <v>90183</v>
      </c>
      <c r="F15" s="1">
        <v>23</v>
      </c>
      <c r="G15" s="1" t="s">
        <v>40</v>
      </c>
      <c r="H15" s="1" t="s">
        <v>44</v>
      </c>
      <c r="I15" s="1" t="s">
        <v>28</v>
      </c>
      <c r="J15" s="1">
        <v>500</v>
      </c>
      <c r="K15" s="1" t="s">
        <v>23</v>
      </c>
      <c r="M15" s="1" t="s">
        <v>31</v>
      </c>
      <c r="N15" s="1">
        <v>46034</v>
      </c>
      <c r="O15" s="1">
        <v>861</v>
      </c>
      <c r="P15" s="1">
        <v>1.6</v>
      </c>
      <c r="Q15" s="1">
        <f>Table1[[#This Row],[Verwacht_longontsteking]]*Table1[[#This Row],[OR]]</f>
        <v>1377.6000000000001</v>
      </c>
      <c r="R15" s="1">
        <f>Table1[[#This Row],[Geschat_longontsteking]]-Table1[[#This Row],[Verwacht_longontsteking]]</f>
        <v>516.60000000000014</v>
      </c>
      <c r="S15" s="1">
        <v>1.25</v>
      </c>
      <c r="T15" s="1">
        <f>Table1[[#This Row],[Verwacht_longontsteking]]*S15</f>
        <v>1076.25</v>
      </c>
      <c r="U15" s="1">
        <f>Table1[[#This Row],[Geschat_longontsteking_laag]]-Table1[[#This Row],[Verwacht_longontsteking]]</f>
        <v>215.25</v>
      </c>
      <c r="V15" s="1">
        <v>2.0299999999999998</v>
      </c>
      <c r="W15" s="1">
        <f>Table1[[#This Row],[Verwacht_longontsteking]]*V15</f>
        <v>1747.83</v>
      </c>
      <c r="X15" s="1">
        <f>Table1[[#This Row],[Geschat_longontsteking_hoog]]-Table1[[#This Row],[Verwacht_longontsteking]]</f>
        <v>886.82999999999993</v>
      </c>
      <c r="Y15" s="2">
        <v>0.95</v>
      </c>
      <c r="Z15" s="1" t="s">
        <v>92</v>
      </c>
    </row>
    <row r="16" spans="1:26" x14ac:dyDescent="0.25">
      <c r="A16" s="1" t="s">
        <v>11</v>
      </c>
      <c r="B16" s="1">
        <v>2019</v>
      </c>
      <c r="C16" s="1" t="s">
        <v>19</v>
      </c>
      <c r="D16" s="1" t="s">
        <v>23</v>
      </c>
      <c r="E16" s="1">
        <v>90183</v>
      </c>
      <c r="F16" s="1">
        <v>23</v>
      </c>
      <c r="G16" s="1" t="s">
        <v>40</v>
      </c>
      <c r="H16" s="1" t="s">
        <v>44</v>
      </c>
      <c r="I16" s="1" t="s">
        <v>35</v>
      </c>
      <c r="J16" s="1">
        <v>500</v>
      </c>
      <c r="K16" s="1" t="s">
        <v>23</v>
      </c>
      <c r="M16" s="1" t="s">
        <v>31</v>
      </c>
      <c r="N16" s="1">
        <v>46034</v>
      </c>
      <c r="O16" s="1">
        <v>861</v>
      </c>
      <c r="P16" s="1">
        <v>1.33</v>
      </c>
      <c r="Q16" s="1">
        <f>Table1[[#This Row],[Verwacht_longontsteking]]*Table1[[#This Row],[OR]]</f>
        <v>1145.1300000000001</v>
      </c>
      <c r="R16" s="1">
        <f>Table1[[#This Row],[Geschat_longontsteking]]-Table1[[#This Row],[Verwacht_longontsteking]]</f>
        <v>284.13000000000011</v>
      </c>
      <c r="S16" s="1">
        <v>1.03</v>
      </c>
      <c r="T16" s="1">
        <f>Table1[[#This Row],[Verwacht_longontsteking]]*S16</f>
        <v>886.83</v>
      </c>
      <c r="U16" s="1">
        <f>Table1[[#This Row],[Geschat_longontsteking_laag]]-Table1[[#This Row],[Verwacht_longontsteking]]</f>
        <v>25.830000000000041</v>
      </c>
      <c r="V16" s="1">
        <v>1.17</v>
      </c>
      <c r="W16" s="1">
        <f>Table1[[#This Row],[Verwacht_longontsteking]]*V16</f>
        <v>1007.3699999999999</v>
      </c>
      <c r="X16" s="1">
        <f>Table1[[#This Row],[Geschat_longontsteking_hoog]]-Table1[[#This Row],[Verwacht_longontsteking]]</f>
        <v>146.36999999999989</v>
      </c>
      <c r="Y16" s="2">
        <v>0.95</v>
      </c>
      <c r="Z16" s="1" t="s">
        <v>92</v>
      </c>
    </row>
    <row r="17" spans="1:26" x14ac:dyDescent="0.25">
      <c r="A17" s="1" t="s">
        <v>11</v>
      </c>
      <c r="B17" s="1">
        <v>2019</v>
      </c>
      <c r="C17" s="1" t="s">
        <v>19</v>
      </c>
      <c r="D17" s="1" t="s">
        <v>23</v>
      </c>
      <c r="E17" s="1">
        <v>90183</v>
      </c>
      <c r="F17" s="1">
        <v>23</v>
      </c>
      <c r="G17" s="1" t="s">
        <v>40</v>
      </c>
      <c r="H17" s="1" t="s">
        <v>44</v>
      </c>
      <c r="I17" s="1" t="s">
        <v>36</v>
      </c>
      <c r="J17" s="1">
        <v>500</v>
      </c>
      <c r="K17" s="1" t="s">
        <v>23</v>
      </c>
      <c r="M17" s="1" t="s">
        <v>31</v>
      </c>
      <c r="N17" s="1">
        <v>46034</v>
      </c>
      <c r="O17" s="1">
        <v>861</v>
      </c>
      <c r="P17" s="1">
        <v>1.58</v>
      </c>
      <c r="Q17" s="1">
        <f>Table1[[#This Row],[Verwacht_longontsteking]]*Table1[[#This Row],[OR]]</f>
        <v>1360.38</v>
      </c>
      <c r="R17" s="1">
        <f>Table1[[#This Row],[Geschat_longontsteking]]-Table1[[#This Row],[Verwacht_longontsteking]]</f>
        <v>499.38000000000011</v>
      </c>
      <c r="S17" s="1">
        <v>1.1000000000000001</v>
      </c>
      <c r="T17" s="1">
        <f>Table1[[#This Row],[Verwacht_longontsteking]]*S17</f>
        <v>947.1</v>
      </c>
      <c r="U17" s="1">
        <f>Table1[[#This Row],[Geschat_longontsteking_laag]]-Table1[[#This Row],[Verwacht_longontsteking]]</f>
        <v>86.100000000000023</v>
      </c>
      <c r="V17" s="1">
        <v>2.27</v>
      </c>
      <c r="W17" s="1">
        <f>Table1[[#This Row],[Verwacht_longontsteking]]*V17</f>
        <v>1954.47</v>
      </c>
      <c r="X17" s="1">
        <f>Table1[[#This Row],[Geschat_longontsteking_hoog]]-Table1[[#This Row],[Verwacht_longontsteking]]</f>
        <v>1093.47</v>
      </c>
      <c r="Y17" s="2">
        <v>0.95</v>
      </c>
      <c r="Z17" s="1" t="s">
        <v>92</v>
      </c>
    </row>
    <row r="18" spans="1:26" x14ac:dyDescent="0.25">
      <c r="A18" s="1" t="s">
        <v>13</v>
      </c>
      <c r="B18" s="1">
        <v>2023</v>
      </c>
      <c r="C18" s="1" t="s">
        <v>19</v>
      </c>
      <c r="D18" s="1" t="s">
        <v>24</v>
      </c>
      <c r="E18" s="1">
        <v>13400</v>
      </c>
      <c r="F18" s="1">
        <v>43</v>
      </c>
      <c r="G18" s="1" t="s">
        <v>46</v>
      </c>
      <c r="H18" s="1" t="s">
        <v>44</v>
      </c>
      <c r="I18" s="1" t="s">
        <v>36</v>
      </c>
      <c r="J18" s="1">
        <v>500</v>
      </c>
      <c r="K18" s="1" t="s">
        <v>24</v>
      </c>
      <c r="M18" s="1" t="s">
        <v>31</v>
      </c>
      <c r="N18" s="1">
        <v>46034</v>
      </c>
      <c r="O18" s="1">
        <v>861</v>
      </c>
      <c r="P18" s="1">
        <v>1.49</v>
      </c>
      <c r="Q18" s="1">
        <f>Table1[[#This Row],[Verwacht_longontsteking]]*Table1[[#This Row],[OR]]</f>
        <v>1282.8900000000001</v>
      </c>
      <c r="R18" s="1">
        <f>Table1[[#This Row],[Geschat_longontsteking]]-Table1[[#This Row],[Verwacht_longontsteking]]</f>
        <v>421.8900000000001</v>
      </c>
      <c r="S18" s="1">
        <v>0.95</v>
      </c>
      <c r="T18" s="1">
        <f>Table1[[#This Row],[Verwacht_longontsteking]]*S18</f>
        <v>817.94999999999993</v>
      </c>
      <c r="U18" s="1">
        <f>Table1[[#This Row],[Geschat_longontsteking_laag]]-Table1[[#This Row],[Verwacht_longontsteking]]</f>
        <v>-43.050000000000068</v>
      </c>
      <c r="V18" s="1">
        <v>2.4</v>
      </c>
      <c r="W18" s="1">
        <f>Table1[[#This Row],[Verwacht_longontsteking]]*V18</f>
        <v>2066.4</v>
      </c>
      <c r="X18" s="1">
        <f>Table1[[#This Row],[Geschat_longontsteking_hoog]]-Table1[[#This Row],[Verwacht_longontsteking]]</f>
        <v>1205.4000000000001</v>
      </c>
      <c r="Y18" s="2">
        <v>0.95</v>
      </c>
      <c r="Z18" s="1" t="s">
        <v>93</v>
      </c>
    </row>
    <row r="19" spans="1:26" x14ac:dyDescent="0.25">
      <c r="A19" s="1" t="s">
        <v>13</v>
      </c>
      <c r="B19" s="1">
        <v>2023</v>
      </c>
      <c r="C19" s="1" t="s">
        <v>19</v>
      </c>
      <c r="D19" s="1" t="s">
        <v>24</v>
      </c>
      <c r="E19" s="1">
        <v>13400</v>
      </c>
      <c r="F19" s="1">
        <v>43</v>
      </c>
      <c r="G19" s="1" t="s">
        <v>47</v>
      </c>
      <c r="H19" s="1" t="s">
        <v>44</v>
      </c>
      <c r="I19" s="1" t="s">
        <v>36</v>
      </c>
      <c r="J19" s="1">
        <v>500</v>
      </c>
      <c r="K19" s="1" t="s">
        <v>24</v>
      </c>
      <c r="M19" s="1" t="s">
        <v>31</v>
      </c>
      <c r="N19" s="1">
        <v>46034</v>
      </c>
      <c r="O19" s="1">
        <v>861</v>
      </c>
      <c r="P19" s="1">
        <v>1.73</v>
      </c>
      <c r="Q19" s="1">
        <f>Table1[[#This Row],[Verwacht_longontsteking]]*Table1[[#This Row],[OR]]</f>
        <v>1489.53</v>
      </c>
      <c r="R19" s="1">
        <f>Table1[[#This Row],[Geschat_longontsteking]]-Table1[[#This Row],[Verwacht_longontsteking]]</f>
        <v>628.53</v>
      </c>
      <c r="S19" s="1">
        <v>1.24</v>
      </c>
      <c r="T19" s="1">
        <f>Table1[[#This Row],[Verwacht_longontsteking]]*S19</f>
        <v>1067.6400000000001</v>
      </c>
      <c r="U19" s="1">
        <f>Table1[[#This Row],[Geschat_longontsteking_laag]]-Table1[[#This Row],[Verwacht_longontsteking]]</f>
        <v>206.6400000000001</v>
      </c>
      <c r="V19" s="1">
        <v>2.42</v>
      </c>
      <c r="W19" s="1">
        <f>Table1[[#This Row],[Verwacht_longontsteking]]*V19</f>
        <v>2083.62</v>
      </c>
      <c r="X19" s="1">
        <f>Table1[[#This Row],[Geschat_longontsteking_hoog]]-Table1[[#This Row],[Verwacht_longontsteking]]</f>
        <v>1222.6199999999999</v>
      </c>
      <c r="Y19" s="2">
        <v>0.95</v>
      </c>
      <c r="Z19" s="1" t="s">
        <v>92</v>
      </c>
    </row>
    <row r="20" spans="1:26" x14ac:dyDescent="0.25">
      <c r="A20" s="1" t="s">
        <v>14</v>
      </c>
      <c r="B20" s="1">
        <v>2023</v>
      </c>
      <c r="C20" s="1" t="s">
        <v>19</v>
      </c>
      <c r="D20" s="1" t="s">
        <v>56</v>
      </c>
      <c r="E20" s="1">
        <v>162941</v>
      </c>
      <c r="F20" s="1">
        <v>50</v>
      </c>
      <c r="G20" s="1" t="s">
        <v>40</v>
      </c>
      <c r="H20" s="1" t="s">
        <v>44</v>
      </c>
      <c r="I20" s="1" t="s">
        <v>78</v>
      </c>
      <c r="J20" s="1">
        <v>500</v>
      </c>
      <c r="K20" s="1" t="s">
        <v>56</v>
      </c>
      <c r="L20" s="1" t="s">
        <v>79</v>
      </c>
      <c r="M20" s="1" t="s">
        <v>55</v>
      </c>
      <c r="N20" s="1">
        <v>46034</v>
      </c>
      <c r="O20" s="1">
        <v>861</v>
      </c>
      <c r="P20" s="1">
        <v>0.64</v>
      </c>
      <c r="Q20" s="1">
        <f>Table1[[#This Row],[Verwacht_longontsteking]]*Table1[[#This Row],[OR]]</f>
        <v>551.04</v>
      </c>
      <c r="R20" s="1">
        <f>Table1[[#This Row],[Geschat_longontsteking]]-Table1[[#This Row],[Verwacht_longontsteking]]</f>
        <v>-309.96000000000004</v>
      </c>
      <c r="S20" s="1">
        <v>0.3</v>
      </c>
      <c r="T20" s="1">
        <f>Table1[[#This Row],[Verwacht_longontsteking]]*S20</f>
        <v>258.3</v>
      </c>
      <c r="U20" s="1">
        <f>Table1[[#This Row],[Geschat_longontsteking_laag]]-Table1[[#This Row],[Verwacht_longontsteking]]</f>
        <v>-602.70000000000005</v>
      </c>
      <c r="V20" s="1">
        <v>1.36</v>
      </c>
      <c r="W20" s="1">
        <f>Table1[[#This Row],[Verwacht_longontsteking]]*V20</f>
        <v>1170.96</v>
      </c>
      <c r="X20" s="1">
        <f>Table1[[#This Row],[Geschat_longontsteking_hoog]]-Table1[[#This Row],[Verwacht_longontsteking]]</f>
        <v>309.96000000000004</v>
      </c>
      <c r="Y20" s="2">
        <v>0.95</v>
      </c>
      <c r="Z20" s="1" t="s">
        <v>93</v>
      </c>
    </row>
    <row r="21" spans="1:26" x14ac:dyDescent="0.25">
      <c r="A21" s="1" t="s">
        <v>14</v>
      </c>
      <c r="B21" s="1">
        <v>2023</v>
      </c>
      <c r="C21" s="1" t="s">
        <v>19</v>
      </c>
      <c r="D21" s="1" t="s">
        <v>56</v>
      </c>
      <c r="E21" s="1">
        <v>162941</v>
      </c>
      <c r="F21" s="1">
        <v>50</v>
      </c>
      <c r="G21" s="1" t="s">
        <v>40</v>
      </c>
      <c r="H21" s="1" t="s">
        <v>44</v>
      </c>
      <c r="I21" s="1" t="s">
        <v>78</v>
      </c>
      <c r="J21" s="1">
        <v>500</v>
      </c>
      <c r="K21" s="1" t="s">
        <v>56</v>
      </c>
      <c r="L21" s="1" t="s">
        <v>80</v>
      </c>
      <c r="M21" s="1" t="s">
        <v>55</v>
      </c>
      <c r="N21" s="1">
        <v>46034</v>
      </c>
      <c r="O21" s="1">
        <v>861</v>
      </c>
      <c r="P21" s="1">
        <v>0.86</v>
      </c>
      <c r="Q21" s="1">
        <f>Table1[[#This Row],[Verwacht_longontsteking]]*Table1[[#This Row],[OR]]</f>
        <v>740.46</v>
      </c>
      <c r="R21" s="1">
        <f>Table1[[#This Row],[Geschat_longontsteking]]-Table1[[#This Row],[Verwacht_longontsteking]]</f>
        <v>-120.53999999999996</v>
      </c>
      <c r="S21" s="1">
        <v>0.47</v>
      </c>
      <c r="T21" s="1">
        <f>Table1[[#This Row],[Verwacht_longontsteking]]*S21</f>
        <v>404.66999999999996</v>
      </c>
      <c r="U21" s="1">
        <f>Table1[[#This Row],[Geschat_longontsteking_laag]]-Table1[[#This Row],[Verwacht_longontsteking]]</f>
        <v>-456.33000000000004</v>
      </c>
      <c r="V21" s="1">
        <v>1.57</v>
      </c>
      <c r="W21" s="1">
        <f>Table1[[#This Row],[Verwacht_longontsteking]]*V21</f>
        <v>1351.77</v>
      </c>
      <c r="X21" s="1">
        <f>Table1[[#This Row],[Geschat_longontsteking_hoog]]-Table1[[#This Row],[Verwacht_longontsteking]]</f>
        <v>490.77</v>
      </c>
      <c r="Y21" s="2">
        <v>0.95</v>
      </c>
      <c r="Z21" s="1" t="s">
        <v>93</v>
      </c>
    </row>
    <row r="22" spans="1:26" x14ac:dyDescent="0.25">
      <c r="A22" s="1" t="s">
        <v>14</v>
      </c>
      <c r="B22" s="1">
        <v>2023</v>
      </c>
      <c r="C22" s="1" t="s">
        <v>19</v>
      </c>
      <c r="D22" s="1" t="s">
        <v>56</v>
      </c>
      <c r="E22" s="1">
        <v>162941</v>
      </c>
      <c r="F22" s="1">
        <v>50</v>
      </c>
      <c r="G22" s="1" t="s">
        <v>40</v>
      </c>
      <c r="H22" s="1" t="s">
        <v>44</v>
      </c>
      <c r="I22" s="1" t="s">
        <v>78</v>
      </c>
      <c r="J22" s="1">
        <v>500</v>
      </c>
      <c r="K22" s="1" t="s">
        <v>56</v>
      </c>
      <c r="L22" s="1" t="s">
        <v>81</v>
      </c>
      <c r="M22" s="1" t="s">
        <v>55</v>
      </c>
      <c r="N22" s="1">
        <v>46034</v>
      </c>
      <c r="O22" s="1">
        <v>861</v>
      </c>
      <c r="P22" s="1">
        <v>1.68</v>
      </c>
      <c r="Q22" s="1">
        <f>Table1[[#This Row],[Verwacht_longontsteking]]*Table1[[#This Row],[OR]]</f>
        <v>1446.48</v>
      </c>
      <c r="R22" s="1">
        <f>Table1[[#This Row],[Geschat_longontsteking]]-Table1[[#This Row],[Verwacht_longontsteking]]</f>
        <v>585.48</v>
      </c>
      <c r="S22" s="1">
        <v>1.02</v>
      </c>
      <c r="T22" s="1">
        <f>Table1[[#This Row],[Verwacht_longontsteking]]*S22</f>
        <v>878.22</v>
      </c>
      <c r="U22" s="1">
        <f>Table1[[#This Row],[Geschat_longontsteking_laag]]-Table1[[#This Row],[Verwacht_longontsteking]]</f>
        <v>17.220000000000027</v>
      </c>
      <c r="V22" s="1">
        <v>2.78</v>
      </c>
      <c r="W22" s="1">
        <f>Table1[[#This Row],[Verwacht_longontsteking]]*V22</f>
        <v>2393.58</v>
      </c>
      <c r="X22" s="1">
        <f>Table1[[#This Row],[Geschat_longontsteking_hoog]]-Table1[[#This Row],[Verwacht_longontsteking]]</f>
        <v>1532.58</v>
      </c>
      <c r="Y22" s="2">
        <v>0.95</v>
      </c>
      <c r="Z22" s="1" t="s">
        <v>92</v>
      </c>
    </row>
    <row r="23" spans="1:26" x14ac:dyDescent="0.25">
      <c r="A23" s="1" t="s">
        <v>14</v>
      </c>
      <c r="B23" s="1">
        <v>2023</v>
      </c>
      <c r="C23" s="1" t="s">
        <v>19</v>
      </c>
      <c r="D23" s="1" t="s">
        <v>56</v>
      </c>
      <c r="E23" s="1">
        <v>162941</v>
      </c>
      <c r="F23" s="1">
        <v>50</v>
      </c>
      <c r="G23" s="1" t="s">
        <v>40</v>
      </c>
      <c r="H23" s="1" t="s">
        <v>44</v>
      </c>
      <c r="I23" s="1" t="s">
        <v>78</v>
      </c>
      <c r="J23" s="1">
        <v>500</v>
      </c>
      <c r="K23" s="1" t="s">
        <v>56</v>
      </c>
      <c r="L23" s="1" t="s">
        <v>82</v>
      </c>
      <c r="M23" s="1" t="s">
        <v>55</v>
      </c>
      <c r="N23" s="1">
        <v>46034</v>
      </c>
      <c r="O23" s="1">
        <v>861</v>
      </c>
      <c r="P23" s="1">
        <v>1.1399999999999999</v>
      </c>
      <c r="Q23" s="1">
        <f>Table1[[#This Row],[Verwacht_longontsteking]]*Table1[[#This Row],[OR]]</f>
        <v>981.54</v>
      </c>
      <c r="R23" s="1">
        <f>Table1[[#This Row],[Geschat_longontsteking]]-Table1[[#This Row],[Verwacht_longontsteking]]</f>
        <v>120.53999999999996</v>
      </c>
      <c r="S23" s="1">
        <v>0.54</v>
      </c>
      <c r="T23" s="1">
        <f>Table1[[#This Row],[Verwacht_longontsteking]]*S23</f>
        <v>464.94000000000005</v>
      </c>
      <c r="U23" s="1">
        <f>Table1[[#This Row],[Geschat_longontsteking_laag]]-Table1[[#This Row],[Verwacht_longontsteking]]</f>
        <v>-396.05999999999995</v>
      </c>
      <c r="V23" s="1">
        <v>2.42</v>
      </c>
      <c r="W23" s="1">
        <f>Table1[[#This Row],[Verwacht_longontsteking]]*V23</f>
        <v>2083.62</v>
      </c>
      <c r="X23" s="1">
        <f>Table1[[#This Row],[Geschat_longontsteking_hoog]]-Table1[[#This Row],[Verwacht_longontsteking]]</f>
        <v>1222.6199999999999</v>
      </c>
      <c r="Y23" s="2">
        <v>0.95</v>
      </c>
      <c r="Z23" s="1" t="s">
        <v>93</v>
      </c>
    </row>
    <row r="24" spans="1:26" x14ac:dyDescent="0.25">
      <c r="A24" s="1" t="s">
        <v>14</v>
      </c>
      <c r="B24" s="1">
        <v>2023</v>
      </c>
      <c r="C24" s="1" t="s">
        <v>19</v>
      </c>
      <c r="D24" s="1" t="s">
        <v>56</v>
      </c>
      <c r="E24" s="1">
        <v>162941</v>
      </c>
      <c r="F24" s="1">
        <v>50</v>
      </c>
      <c r="G24" s="1" t="s">
        <v>40</v>
      </c>
      <c r="H24" s="1" t="s">
        <v>44</v>
      </c>
      <c r="I24" s="1" t="s">
        <v>78</v>
      </c>
      <c r="J24" s="1">
        <v>500</v>
      </c>
      <c r="K24" s="1" t="s">
        <v>56</v>
      </c>
      <c r="L24" s="1" t="s">
        <v>83</v>
      </c>
      <c r="M24" s="1" t="s">
        <v>55</v>
      </c>
      <c r="N24" s="1">
        <v>46034</v>
      </c>
      <c r="O24" s="1">
        <v>861</v>
      </c>
      <c r="P24" s="1">
        <v>1.49</v>
      </c>
      <c r="Q24" s="1">
        <f>Table1[[#This Row],[Verwacht_longontsteking]]*Table1[[#This Row],[OR]]</f>
        <v>1282.8900000000001</v>
      </c>
      <c r="R24" s="1">
        <f>Table1[[#This Row],[Geschat_longontsteking]]-Table1[[#This Row],[Verwacht_longontsteking]]</f>
        <v>421.8900000000001</v>
      </c>
      <c r="S24" s="1">
        <v>0.74</v>
      </c>
      <c r="T24" s="1">
        <f>Table1[[#This Row],[Verwacht_longontsteking]]*S24</f>
        <v>637.14</v>
      </c>
      <c r="U24" s="1">
        <f>Table1[[#This Row],[Geschat_longontsteking_laag]]-Table1[[#This Row],[Verwacht_longontsteking]]</f>
        <v>-223.86</v>
      </c>
      <c r="V24" s="1">
        <v>3.02</v>
      </c>
      <c r="W24" s="1">
        <f>Table1[[#This Row],[Verwacht_longontsteking]]*V24</f>
        <v>2600.2199999999998</v>
      </c>
      <c r="X24" s="1">
        <f>Table1[[#This Row],[Geschat_longontsteking_hoog]]-Table1[[#This Row],[Verwacht_longontsteking]]</f>
        <v>1739.2199999999998</v>
      </c>
      <c r="Y24" s="2">
        <v>0.95</v>
      </c>
      <c r="Z24" s="1" t="s">
        <v>93</v>
      </c>
    </row>
    <row r="25" spans="1:26" x14ac:dyDescent="0.25">
      <c r="A25" s="1" t="s">
        <v>14</v>
      </c>
      <c r="B25" s="1">
        <v>2023</v>
      </c>
      <c r="C25" s="1" t="s">
        <v>19</v>
      </c>
      <c r="D25" s="1" t="s">
        <v>56</v>
      </c>
      <c r="E25" s="1">
        <v>162941</v>
      </c>
      <c r="F25" s="1">
        <v>50</v>
      </c>
      <c r="G25" s="1" t="s">
        <v>40</v>
      </c>
      <c r="H25" s="1" t="s">
        <v>44</v>
      </c>
      <c r="I25" s="1" t="s">
        <v>78</v>
      </c>
      <c r="J25" s="1">
        <v>500</v>
      </c>
      <c r="K25" s="1" t="s">
        <v>56</v>
      </c>
      <c r="L25" s="1" t="s">
        <v>84</v>
      </c>
      <c r="M25" s="1" t="s">
        <v>55</v>
      </c>
      <c r="N25" s="1">
        <v>46034</v>
      </c>
      <c r="O25" s="1">
        <v>861</v>
      </c>
      <c r="P25" s="1">
        <v>0.67</v>
      </c>
      <c r="Q25" s="1">
        <f>Table1[[#This Row],[Verwacht_longontsteking]]*Table1[[#This Row],[OR]]</f>
        <v>576.87</v>
      </c>
      <c r="R25" s="1">
        <f>Table1[[#This Row],[Geschat_longontsteking]]-Table1[[#This Row],[Verwacht_longontsteking]]</f>
        <v>-284.13</v>
      </c>
      <c r="S25" s="1">
        <v>0.21</v>
      </c>
      <c r="T25" s="1">
        <f>Table1[[#This Row],[Verwacht_longontsteking]]*S25</f>
        <v>180.81</v>
      </c>
      <c r="U25" s="1">
        <f>Table1[[#This Row],[Geschat_longontsteking_laag]]-Table1[[#This Row],[Verwacht_longontsteking]]</f>
        <v>-680.19</v>
      </c>
      <c r="V25" s="1">
        <v>2.1</v>
      </c>
      <c r="W25" s="1">
        <f>Table1[[#This Row],[Verwacht_longontsteking]]*V25</f>
        <v>1808.1000000000001</v>
      </c>
      <c r="X25" s="1">
        <f>Table1[[#This Row],[Geschat_longontsteking_hoog]]-Table1[[#This Row],[Verwacht_longontsteking]]</f>
        <v>947.10000000000014</v>
      </c>
      <c r="Y25" s="2">
        <v>0.95</v>
      </c>
      <c r="Z25" s="1" t="s">
        <v>93</v>
      </c>
    </row>
    <row r="26" spans="1:26" x14ac:dyDescent="0.25">
      <c r="A26" s="1" t="s">
        <v>14</v>
      </c>
      <c r="B26" s="1">
        <v>2023</v>
      </c>
      <c r="C26" s="1" t="s">
        <v>19</v>
      </c>
      <c r="D26" s="1" t="s">
        <v>56</v>
      </c>
      <c r="E26" s="1">
        <v>162941</v>
      </c>
      <c r="F26" s="1">
        <v>50</v>
      </c>
      <c r="G26" s="1" t="s">
        <v>40</v>
      </c>
      <c r="H26" s="1" t="s">
        <v>44</v>
      </c>
      <c r="I26" s="1" t="s">
        <v>78</v>
      </c>
      <c r="J26" s="1">
        <v>500</v>
      </c>
      <c r="K26" s="1" t="s">
        <v>56</v>
      </c>
      <c r="L26" s="1" t="s">
        <v>85</v>
      </c>
      <c r="M26" s="1" t="s">
        <v>55</v>
      </c>
      <c r="N26" s="1">
        <v>46034</v>
      </c>
      <c r="O26" s="1">
        <v>861</v>
      </c>
      <c r="P26" s="1">
        <v>1.75</v>
      </c>
      <c r="Q26" s="1">
        <f>Table1[[#This Row],[Verwacht_longontsteking]]*Table1[[#This Row],[OR]]</f>
        <v>1506.75</v>
      </c>
      <c r="R26" s="1">
        <f>Table1[[#This Row],[Geschat_longontsteking]]-Table1[[#This Row],[Verwacht_longontsteking]]</f>
        <v>645.75</v>
      </c>
      <c r="S26" s="1">
        <v>0.82</v>
      </c>
      <c r="T26" s="1">
        <f>Table1[[#This Row],[Verwacht_longontsteking]]*S26</f>
        <v>706.02</v>
      </c>
      <c r="U26" s="1">
        <f>Table1[[#This Row],[Geschat_longontsteking_laag]]-Table1[[#This Row],[Verwacht_longontsteking]]</f>
        <v>-154.98000000000002</v>
      </c>
      <c r="V26" s="1">
        <v>3.72</v>
      </c>
      <c r="W26" s="1">
        <f>Table1[[#This Row],[Verwacht_longontsteking]]*V26</f>
        <v>3202.92</v>
      </c>
      <c r="X26" s="1">
        <f>Table1[[#This Row],[Geschat_longontsteking_hoog]]-Table1[[#This Row],[Verwacht_longontsteking]]</f>
        <v>2341.92</v>
      </c>
      <c r="Y26" s="2">
        <v>0.95</v>
      </c>
      <c r="Z26" s="1" t="s">
        <v>93</v>
      </c>
    </row>
    <row r="27" spans="1:26" x14ac:dyDescent="0.25">
      <c r="A27" s="1" t="s">
        <v>14</v>
      </c>
      <c r="B27" s="1">
        <v>2023</v>
      </c>
      <c r="C27" s="1" t="s">
        <v>19</v>
      </c>
      <c r="D27" s="1" t="s">
        <v>56</v>
      </c>
      <c r="E27" s="1">
        <v>162941</v>
      </c>
      <c r="F27" s="1">
        <v>50</v>
      </c>
      <c r="G27" s="1" t="s">
        <v>40</v>
      </c>
      <c r="H27" s="1" t="s">
        <v>44</v>
      </c>
      <c r="I27" s="1" t="s">
        <v>78</v>
      </c>
      <c r="J27" s="1">
        <v>500</v>
      </c>
      <c r="K27" s="1" t="s">
        <v>56</v>
      </c>
      <c r="L27" s="1" t="s">
        <v>86</v>
      </c>
      <c r="M27" s="1" t="s">
        <v>55</v>
      </c>
      <c r="N27" s="1">
        <v>46034</v>
      </c>
      <c r="O27" s="1">
        <v>861</v>
      </c>
      <c r="P27" s="1">
        <v>2.67</v>
      </c>
      <c r="Q27" s="1">
        <f>Table1[[#This Row],[Verwacht_longontsteking]]*Table1[[#This Row],[OR]]</f>
        <v>2298.87</v>
      </c>
      <c r="R27" s="1">
        <f>Table1[[#This Row],[Geschat_longontsteking]]-Table1[[#This Row],[Verwacht_longontsteking]]</f>
        <v>1437.87</v>
      </c>
      <c r="S27" s="1">
        <v>1.45</v>
      </c>
      <c r="T27" s="1">
        <f>Table1[[#This Row],[Verwacht_longontsteking]]*S27</f>
        <v>1248.45</v>
      </c>
      <c r="U27" s="1">
        <f>Table1[[#This Row],[Geschat_longontsteking_laag]]-Table1[[#This Row],[Verwacht_longontsteking]]</f>
        <v>387.45000000000005</v>
      </c>
      <c r="V27" s="1">
        <v>4.9000000000000004</v>
      </c>
      <c r="W27" s="1">
        <f>Table1[[#This Row],[Verwacht_longontsteking]]*V27</f>
        <v>4218.9000000000005</v>
      </c>
      <c r="X27" s="1">
        <f>Table1[[#This Row],[Geschat_longontsteking_hoog]]-Table1[[#This Row],[Verwacht_longontsteking]]</f>
        <v>3357.9000000000005</v>
      </c>
      <c r="Y27" s="2">
        <v>0.95</v>
      </c>
      <c r="Z27" s="1" t="s">
        <v>92</v>
      </c>
    </row>
    <row r="28" spans="1:26" x14ac:dyDescent="0.25">
      <c r="A28" s="1" t="s">
        <v>14</v>
      </c>
      <c r="B28" s="1">
        <v>2023</v>
      </c>
      <c r="C28" s="1" t="s">
        <v>19</v>
      </c>
      <c r="D28" s="1" t="s">
        <v>56</v>
      </c>
      <c r="E28" s="1">
        <v>162941</v>
      </c>
      <c r="F28" s="1">
        <v>50</v>
      </c>
      <c r="G28" s="1" t="s">
        <v>40</v>
      </c>
      <c r="H28" s="1" t="s">
        <v>44</v>
      </c>
      <c r="I28" s="1" t="s">
        <v>78</v>
      </c>
      <c r="J28" s="1">
        <v>500</v>
      </c>
      <c r="K28" s="1" t="s">
        <v>56</v>
      </c>
      <c r="L28" s="1" t="s">
        <v>87</v>
      </c>
      <c r="M28" s="1" t="s">
        <v>55</v>
      </c>
      <c r="N28" s="1">
        <v>46034</v>
      </c>
      <c r="O28" s="1">
        <v>861</v>
      </c>
      <c r="P28" s="1">
        <v>2.52</v>
      </c>
      <c r="Q28" s="1">
        <f>Table1[[#This Row],[Verwacht_longontsteking]]*Table1[[#This Row],[OR]]</f>
        <v>2169.7199999999998</v>
      </c>
      <c r="R28" s="1">
        <f>Table1[[#This Row],[Geschat_longontsteking]]-Table1[[#This Row],[Verwacht_longontsteking]]</f>
        <v>1308.7199999999998</v>
      </c>
      <c r="S28" s="1">
        <v>1.47</v>
      </c>
      <c r="T28" s="1">
        <f>Table1[[#This Row],[Verwacht_longontsteking]]*S28</f>
        <v>1265.67</v>
      </c>
      <c r="U28" s="1">
        <f>Table1[[#This Row],[Geschat_longontsteking_laag]]-Table1[[#This Row],[Verwacht_longontsteking]]</f>
        <v>404.67000000000007</v>
      </c>
      <c r="V28" s="1">
        <v>4.32</v>
      </c>
      <c r="W28" s="1">
        <f>Table1[[#This Row],[Verwacht_longontsteking]]*V28</f>
        <v>3719.5200000000004</v>
      </c>
      <c r="X28" s="1">
        <f>Table1[[#This Row],[Geschat_longontsteking_hoog]]-Table1[[#This Row],[Verwacht_longontsteking]]</f>
        <v>2858.5200000000004</v>
      </c>
      <c r="Y28" s="2">
        <v>0.95</v>
      </c>
      <c r="Z28" s="1" t="s">
        <v>92</v>
      </c>
    </row>
    <row r="29" spans="1:26" x14ac:dyDescent="0.25">
      <c r="A29" s="1" t="s">
        <v>14</v>
      </c>
      <c r="B29" s="1">
        <v>2023</v>
      </c>
      <c r="C29" s="1" t="s">
        <v>19</v>
      </c>
      <c r="D29" s="1" t="s">
        <v>56</v>
      </c>
      <c r="E29" s="1">
        <v>162941</v>
      </c>
      <c r="F29" s="1">
        <v>50</v>
      </c>
      <c r="G29" s="1" t="s">
        <v>40</v>
      </c>
      <c r="H29" s="1" t="s">
        <v>44</v>
      </c>
      <c r="I29" s="1" t="s">
        <v>78</v>
      </c>
      <c r="J29" s="1">
        <v>500</v>
      </c>
      <c r="K29" s="1" t="s">
        <v>56</v>
      </c>
      <c r="L29" s="1" t="s">
        <v>88</v>
      </c>
      <c r="M29" s="1" t="s">
        <v>55</v>
      </c>
      <c r="N29" s="1">
        <v>46034</v>
      </c>
      <c r="O29" s="1">
        <v>861</v>
      </c>
      <c r="P29" s="1">
        <v>1.63</v>
      </c>
      <c r="Q29" s="1">
        <f>Table1[[#This Row],[Verwacht_longontsteking]]*Table1[[#This Row],[OR]]</f>
        <v>1403.4299999999998</v>
      </c>
      <c r="R29" s="1">
        <f>Table1[[#This Row],[Geschat_longontsteking]]-Table1[[#This Row],[Verwacht_longontsteking]]</f>
        <v>542.42999999999984</v>
      </c>
      <c r="S29" s="1">
        <v>0.87</v>
      </c>
      <c r="T29" s="1">
        <f>Table1[[#This Row],[Verwacht_longontsteking]]*S29</f>
        <v>749.07</v>
      </c>
      <c r="U29" s="1">
        <f>Table1[[#This Row],[Geschat_longontsteking_laag]]-Table1[[#This Row],[Verwacht_longontsteking]]</f>
        <v>-111.92999999999995</v>
      </c>
      <c r="V29" s="1">
        <v>3.06</v>
      </c>
      <c r="W29" s="1">
        <f>Table1[[#This Row],[Verwacht_longontsteking]]*V29</f>
        <v>2634.66</v>
      </c>
      <c r="X29" s="1">
        <f>Table1[[#This Row],[Geschat_longontsteking_hoog]]-Table1[[#This Row],[Verwacht_longontsteking]]</f>
        <v>1773.6599999999999</v>
      </c>
      <c r="Y29" s="2">
        <v>0.95</v>
      </c>
      <c r="Z29" s="1" t="s">
        <v>93</v>
      </c>
    </row>
    <row r="30" spans="1:26" x14ac:dyDescent="0.25">
      <c r="A30" s="1" t="s">
        <v>14</v>
      </c>
      <c r="B30" s="1">
        <v>2023</v>
      </c>
      <c r="C30" s="1" t="s">
        <v>19</v>
      </c>
      <c r="D30" s="1" t="s">
        <v>56</v>
      </c>
      <c r="E30" s="1">
        <v>162941</v>
      </c>
      <c r="F30" s="1">
        <v>50</v>
      </c>
      <c r="G30" s="1" t="s">
        <v>40</v>
      </c>
      <c r="H30" s="1" t="s">
        <v>44</v>
      </c>
      <c r="I30" s="1" t="s">
        <v>78</v>
      </c>
      <c r="J30" s="1">
        <v>500</v>
      </c>
      <c r="K30" s="1" t="s">
        <v>56</v>
      </c>
      <c r="L30" s="1" t="s">
        <v>89</v>
      </c>
      <c r="M30" s="1" t="s">
        <v>55</v>
      </c>
      <c r="N30" s="1">
        <v>46034</v>
      </c>
      <c r="O30" s="1">
        <v>861</v>
      </c>
      <c r="P30" s="1">
        <v>0.76</v>
      </c>
      <c r="Q30" s="1">
        <f>Table1[[#This Row],[Verwacht_longontsteking]]*Table1[[#This Row],[OR]]</f>
        <v>654.36</v>
      </c>
      <c r="R30" s="1">
        <f>Table1[[#This Row],[Geschat_longontsteking]]-Table1[[#This Row],[Verwacht_longontsteking]]</f>
        <v>-206.64</v>
      </c>
      <c r="S30" s="1">
        <v>0.32</v>
      </c>
      <c r="T30" s="1">
        <f>Table1[[#This Row],[Verwacht_longontsteking]]*S30</f>
        <v>275.52</v>
      </c>
      <c r="U30" s="1">
        <f>Table1[[#This Row],[Geschat_longontsteking_laag]]-Table1[[#This Row],[Verwacht_longontsteking]]</f>
        <v>-585.48</v>
      </c>
      <c r="V30" s="1">
        <v>1.83</v>
      </c>
      <c r="W30" s="1">
        <f>Table1[[#This Row],[Verwacht_longontsteking]]*V30</f>
        <v>1575.63</v>
      </c>
      <c r="X30" s="1">
        <f>Table1[[#This Row],[Geschat_longontsteking_hoog]]-Table1[[#This Row],[Verwacht_longontsteking]]</f>
        <v>714.63000000000011</v>
      </c>
      <c r="Y30" s="2">
        <v>0.95</v>
      </c>
      <c r="Z30" s="1" t="s">
        <v>93</v>
      </c>
    </row>
    <row r="31" spans="1:26" x14ac:dyDescent="0.25">
      <c r="A31" s="1" t="s">
        <v>14</v>
      </c>
      <c r="B31" s="1">
        <v>2023</v>
      </c>
      <c r="C31" s="1" t="s">
        <v>19</v>
      </c>
      <c r="D31" s="1" t="s">
        <v>56</v>
      </c>
      <c r="E31" s="1">
        <v>162941</v>
      </c>
      <c r="F31" s="1">
        <v>50</v>
      </c>
      <c r="G31" s="1" t="s">
        <v>40</v>
      </c>
      <c r="H31" s="1" t="s">
        <v>44</v>
      </c>
      <c r="I31" s="1" t="s">
        <v>78</v>
      </c>
      <c r="J31" s="1">
        <v>500</v>
      </c>
      <c r="K31" s="1" t="s">
        <v>56</v>
      </c>
      <c r="L31" s="1" t="s">
        <v>90</v>
      </c>
      <c r="M31" s="1" t="s">
        <v>55</v>
      </c>
      <c r="N31" s="1">
        <v>46034</v>
      </c>
      <c r="O31" s="1">
        <v>861</v>
      </c>
      <c r="P31" s="1">
        <v>1.46</v>
      </c>
      <c r="Q31" s="1">
        <f>Table1[[#This Row],[Verwacht_longontsteking]]*Table1[[#This Row],[OR]]</f>
        <v>1257.06</v>
      </c>
      <c r="R31" s="1">
        <f>Table1[[#This Row],[Geschat_longontsteking]]-Table1[[#This Row],[Verwacht_longontsteking]]</f>
        <v>396.05999999999995</v>
      </c>
      <c r="S31" s="1">
        <v>0.87</v>
      </c>
      <c r="T31" s="1">
        <f>Table1[[#This Row],[Verwacht_longontsteking]]*S31</f>
        <v>749.07</v>
      </c>
      <c r="U31" s="1">
        <f>Table1[[#This Row],[Geschat_longontsteking_laag]]-Table1[[#This Row],[Verwacht_longontsteking]]</f>
        <v>-111.92999999999995</v>
      </c>
      <c r="V31" s="1">
        <v>2.4500000000000002</v>
      </c>
      <c r="W31" s="1">
        <f>Table1[[#This Row],[Verwacht_longontsteking]]*V31</f>
        <v>2109.4500000000003</v>
      </c>
      <c r="X31" s="1">
        <f>Table1[[#This Row],[Geschat_longontsteking_hoog]]-Table1[[#This Row],[Verwacht_longontsteking]]</f>
        <v>1248.4500000000003</v>
      </c>
      <c r="Y31" s="2">
        <v>0.95</v>
      </c>
      <c r="Z31" s="1" t="s">
        <v>93</v>
      </c>
    </row>
    <row r="32" spans="1:26" x14ac:dyDescent="0.25">
      <c r="A32" s="1" t="s">
        <v>4</v>
      </c>
      <c r="B32" s="1">
        <v>2015</v>
      </c>
      <c r="C32" s="1" t="s">
        <v>18</v>
      </c>
      <c r="D32" s="1">
        <v>2012</v>
      </c>
      <c r="E32" s="1">
        <v>12117</v>
      </c>
      <c r="F32" s="1">
        <v>21</v>
      </c>
      <c r="G32" s="1" t="s">
        <v>40</v>
      </c>
      <c r="H32" s="1" t="s">
        <v>41</v>
      </c>
      <c r="I32" s="1" t="s">
        <v>28</v>
      </c>
      <c r="J32" s="1">
        <v>1000</v>
      </c>
      <c r="K32" s="1">
        <v>2012</v>
      </c>
      <c r="M32" s="1" t="s">
        <v>31</v>
      </c>
      <c r="N32" s="1">
        <v>236708</v>
      </c>
      <c r="O32" s="1">
        <v>4426</v>
      </c>
      <c r="P32" s="1">
        <v>1.23</v>
      </c>
      <c r="Q32" s="1">
        <f>Table1[[#This Row],[Verwacht_longontsteking]]*Table1[[#This Row],[OR]]</f>
        <v>5443.98</v>
      </c>
      <c r="R32" s="1">
        <f>Table1[[#This Row],[Geschat_longontsteking]]-Table1[[#This Row],[Verwacht_longontsteking]]</f>
        <v>1017.9799999999996</v>
      </c>
      <c r="S32" s="1">
        <v>1.1200000000000001</v>
      </c>
      <c r="T32" s="1">
        <f>Table1[[#This Row],[Verwacht_longontsteking]]*S32</f>
        <v>4957.1200000000008</v>
      </c>
      <c r="U32" s="1">
        <f>Table1[[#This Row],[Geschat_longontsteking_laag]]-Table1[[#This Row],[Verwacht_longontsteking]]</f>
        <v>531.1200000000008</v>
      </c>
      <c r="V32" s="1">
        <v>1.34</v>
      </c>
      <c r="W32" s="1">
        <f>Table1[[#This Row],[Verwacht_longontsteking]]*V32</f>
        <v>5930.84</v>
      </c>
      <c r="X32" s="1">
        <f>Table1[[#This Row],[Geschat_longontsteking_hoog]]-Table1[[#This Row],[Verwacht_longontsteking]]</f>
        <v>1504.8400000000001</v>
      </c>
      <c r="Y32" s="2">
        <v>0.95</v>
      </c>
      <c r="Z32" s="1" t="s">
        <v>92</v>
      </c>
    </row>
    <row r="33" spans="1:26" x14ac:dyDescent="0.25">
      <c r="A33" s="1" t="s">
        <v>11</v>
      </c>
      <c r="B33" s="1">
        <v>2019</v>
      </c>
      <c r="C33" s="1" t="s">
        <v>19</v>
      </c>
      <c r="D33" s="1" t="s">
        <v>23</v>
      </c>
      <c r="E33" s="1">
        <v>90183</v>
      </c>
      <c r="F33" s="1">
        <v>23</v>
      </c>
      <c r="G33" s="1" t="s">
        <v>40</v>
      </c>
      <c r="H33" s="1" t="s">
        <v>44</v>
      </c>
      <c r="I33" s="1" t="s">
        <v>36</v>
      </c>
      <c r="J33" s="1">
        <v>1000</v>
      </c>
      <c r="K33" s="1">
        <v>2014</v>
      </c>
      <c r="M33" s="1" t="s">
        <v>31</v>
      </c>
      <c r="N33" s="1">
        <v>236708</v>
      </c>
      <c r="O33" s="1">
        <v>4426</v>
      </c>
      <c r="P33" s="1">
        <v>1.38</v>
      </c>
      <c r="Q33" s="1">
        <f>Table1[[#This Row],[Verwacht_longontsteking]]*Table1[[#This Row],[OR]]</f>
        <v>6107.8799999999992</v>
      </c>
      <c r="R33" s="1">
        <f>Table1[[#This Row],[Geschat_longontsteking]]-Table1[[#This Row],[Verwacht_longontsteking]]</f>
        <v>1681.8799999999992</v>
      </c>
      <c r="S33" s="1">
        <v>0.99</v>
      </c>
      <c r="T33" s="1">
        <f>Table1[[#This Row],[Verwacht_longontsteking]]*S33</f>
        <v>4381.74</v>
      </c>
      <c r="U33" s="1">
        <f>Table1[[#This Row],[Geschat_longontsteking_laag]]-Table1[[#This Row],[Verwacht_longontsteking]]</f>
        <v>-44.260000000000218</v>
      </c>
      <c r="V33" s="1">
        <v>1.9</v>
      </c>
      <c r="W33" s="1">
        <f>Table1[[#This Row],[Verwacht_longontsteking]]*V33</f>
        <v>8409.4</v>
      </c>
      <c r="X33" s="1">
        <f>Table1[[#This Row],[Geschat_longontsteking_hoog]]-Table1[[#This Row],[Verwacht_longontsteking]]</f>
        <v>3983.3999999999996</v>
      </c>
      <c r="Y33" s="2">
        <v>0.95</v>
      </c>
      <c r="Z33" s="1" t="s">
        <v>93</v>
      </c>
    </row>
    <row r="34" spans="1:26" x14ac:dyDescent="0.25">
      <c r="A34" s="1" t="s">
        <v>11</v>
      </c>
      <c r="B34" s="1">
        <v>2019</v>
      </c>
      <c r="C34" s="1" t="s">
        <v>19</v>
      </c>
      <c r="D34" s="1" t="s">
        <v>23</v>
      </c>
      <c r="E34" s="1">
        <v>90183</v>
      </c>
      <c r="F34" s="1">
        <v>23</v>
      </c>
      <c r="G34" s="1" t="s">
        <v>40</v>
      </c>
      <c r="H34" s="1" t="s">
        <v>44</v>
      </c>
      <c r="I34" s="1" t="s">
        <v>35</v>
      </c>
      <c r="J34" s="1">
        <v>1000</v>
      </c>
      <c r="K34" s="1">
        <v>2014</v>
      </c>
      <c r="M34" s="1" t="s">
        <v>31</v>
      </c>
      <c r="N34" s="1">
        <v>236708</v>
      </c>
      <c r="O34" s="1">
        <v>4426</v>
      </c>
      <c r="P34" s="1">
        <v>1.19</v>
      </c>
      <c r="Q34" s="1">
        <f>Table1[[#This Row],[Verwacht_longontsteking]]*Table1[[#This Row],[OR]]</f>
        <v>5266.94</v>
      </c>
      <c r="R34" s="1">
        <f>Table1[[#This Row],[Geschat_longontsteking]]-Table1[[#This Row],[Verwacht_longontsteking]]</f>
        <v>840.9399999999996</v>
      </c>
      <c r="S34" s="1">
        <v>0.97</v>
      </c>
      <c r="T34" s="1">
        <f>Table1[[#This Row],[Verwacht_longontsteking]]*S34</f>
        <v>4293.22</v>
      </c>
      <c r="U34" s="1">
        <f>Table1[[#This Row],[Geschat_longontsteking_laag]]-Table1[[#This Row],[Verwacht_longontsteking]]</f>
        <v>-132.77999999999975</v>
      </c>
      <c r="V34" s="1">
        <v>1.46</v>
      </c>
      <c r="W34" s="1">
        <f>Table1[[#This Row],[Verwacht_longontsteking]]*V34</f>
        <v>6461.96</v>
      </c>
      <c r="X34" s="1">
        <f>Table1[[#This Row],[Geschat_longontsteking_hoog]]-Table1[[#This Row],[Verwacht_longontsteking]]</f>
        <v>2035.96</v>
      </c>
      <c r="Y34" s="2">
        <v>0.95</v>
      </c>
      <c r="Z34" s="1" t="s">
        <v>93</v>
      </c>
    </row>
    <row r="35" spans="1:26" x14ac:dyDescent="0.25">
      <c r="A35" s="1" t="s">
        <v>13</v>
      </c>
      <c r="B35" s="1">
        <v>2023</v>
      </c>
      <c r="C35" s="1" t="s">
        <v>19</v>
      </c>
      <c r="D35" s="1" t="s">
        <v>24</v>
      </c>
      <c r="E35" s="1">
        <v>13400</v>
      </c>
      <c r="F35" s="1">
        <v>43</v>
      </c>
      <c r="G35" s="1" t="s">
        <v>46</v>
      </c>
      <c r="H35" s="1" t="s">
        <v>44</v>
      </c>
      <c r="I35" s="1" t="s">
        <v>36</v>
      </c>
      <c r="J35" s="1">
        <v>1000</v>
      </c>
      <c r="K35" s="1">
        <v>2014</v>
      </c>
      <c r="M35" s="1" t="s">
        <v>31</v>
      </c>
      <c r="N35" s="1">
        <v>236708</v>
      </c>
      <c r="O35" s="1">
        <v>4426</v>
      </c>
      <c r="P35" s="1">
        <v>1.1499999999999999</v>
      </c>
      <c r="Q35" s="1">
        <f>Table1[[#This Row],[Verwacht_longontsteking]]*Table1[[#This Row],[OR]]</f>
        <v>5089.8999999999996</v>
      </c>
      <c r="R35" s="1">
        <f>Table1[[#This Row],[Geschat_longontsteking]]-Table1[[#This Row],[Verwacht_longontsteking]]</f>
        <v>663.89999999999964</v>
      </c>
      <c r="S35" s="1">
        <v>0.9</v>
      </c>
      <c r="T35" s="1">
        <f>Table1[[#This Row],[Verwacht_longontsteking]]*S35</f>
        <v>3983.4</v>
      </c>
      <c r="U35" s="1">
        <f>Table1[[#This Row],[Geschat_longontsteking_laag]]-Table1[[#This Row],[Verwacht_longontsteking]]</f>
        <v>-442.59999999999991</v>
      </c>
      <c r="V35" s="1">
        <v>1.48</v>
      </c>
      <c r="W35" s="1">
        <f>Table1[[#This Row],[Verwacht_longontsteking]]*V35</f>
        <v>6550.48</v>
      </c>
      <c r="X35" s="1">
        <f>Table1[[#This Row],[Geschat_longontsteking_hoog]]-Table1[[#This Row],[Verwacht_longontsteking]]</f>
        <v>2124.4799999999996</v>
      </c>
      <c r="Y35" s="2">
        <v>0.95</v>
      </c>
      <c r="Z35" s="1" t="s">
        <v>93</v>
      </c>
    </row>
    <row r="36" spans="1:26" x14ac:dyDescent="0.25">
      <c r="A36" s="1" t="s">
        <v>11</v>
      </c>
      <c r="B36" s="1">
        <v>2019</v>
      </c>
      <c r="C36" s="1" t="s">
        <v>19</v>
      </c>
      <c r="D36" s="1" t="s">
        <v>23</v>
      </c>
      <c r="E36" s="1">
        <v>90183</v>
      </c>
      <c r="F36" s="1">
        <v>23</v>
      </c>
      <c r="G36" s="1" t="s">
        <v>40</v>
      </c>
      <c r="H36" s="1" t="s">
        <v>44</v>
      </c>
      <c r="I36" s="1" t="s">
        <v>36</v>
      </c>
      <c r="J36" s="1">
        <v>1000</v>
      </c>
      <c r="K36" s="1">
        <v>2015</v>
      </c>
      <c r="M36" s="1" t="s">
        <v>31</v>
      </c>
      <c r="N36" s="1">
        <v>236708</v>
      </c>
      <c r="O36" s="1">
        <v>4426</v>
      </c>
      <c r="P36" s="1">
        <v>1.19</v>
      </c>
      <c r="Q36" s="1">
        <f>Table1[[#This Row],[Verwacht_longontsteking]]*Table1[[#This Row],[OR]]</f>
        <v>5266.94</v>
      </c>
      <c r="R36" s="1">
        <f>Table1[[#This Row],[Geschat_longontsteking]]-Table1[[#This Row],[Verwacht_longontsteking]]</f>
        <v>840.9399999999996</v>
      </c>
      <c r="S36" s="1">
        <v>0.98</v>
      </c>
      <c r="T36" s="1">
        <f>Table1[[#This Row],[Verwacht_longontsteking]]*S36</f>
        <v>4337.4799999999996</v>
      </c>
      <c r="U36" s="1">
        <f>Table1[[#This Row],[Geschat_longontsteking_laag]]-Table1[[#This Row],[Verwacht_longontsteking]]</f>
        <v>-88.520000000000437</v>
      </c>
      <c r="V36" s="1">
        <v>1.45</v>
      </c>
      <c r="W36" s="1">
        <f>Table1[[#This Row],[Verwacht_longontsteking]]*V36</f>
        <v>6417.7</v>
      </c>
      <c r="X36" s="1">
        <f>Table1[[#This Row],[Geschat_longontsteking_hoog]]-Table1[[#This Row],[Verwacht_longontsteking]]</f>
        <v>1991.6999999999998</v>
      </c>
      <c r="Y36" s="2">
        <v>0.95</v>
      </c>
      <c r="Z36" s="1" t="s">
        <v>93</v>
      </c>
    </row>
    <row r="37" spans="1:26" x14ac:dyDescent="0.25">
      <c r="A37" s="1" t="s">
        <v>11</v>
      </c>
      <c r="B37" s="1">
        <v>2019</v>
      </c>
      <c r="C37" s="1" t="s">
        <v>19</v>
      </c>
      <c r="D37" s="1" t="s">
        <v>23</v>
      </c>
      <c r="E37" s="1">
        <v>90183</v>
      </c>
      <c r="F37" s="1">
        <v>23</v>
      </c>
      <c r="G37" s="1" t="s">
        <v>40</v>
      </c>
      <c r="H37" s="1" t="s">
        <v>44</v>
      </c>
      <c r="I37" s="1" t="s">
        <v>35</v>
      </c>
      <c r="J37" s="1">
        <v>1000</v>
      </c>
      <c r="K37" s="1">
        <v>2015</v>
      </c>
      <c r="M37" s="1" t="s">
        <v>31</v>
      </c>
      <c r="N37" s="1">
        <v>236708</v>
      </c>
      <c r="O37" s="1">
        <v>4426</v>
      </c>
      <c r="P37" s="1">
        <v>1.1000000000000001</v>
      </c>
      <c r="Q37" s="1">
        <f>Table1[[#This Row],[Verwacht_longontsteking]]*Table1[[#This Row],[OR]]</f>
        <v>4868.6000000000004</v>
      </c>
      <c r="R37" s="1">
        <f>Table1[[#This Row],[Geschat_longontsteking]]-Table1[[#This Row],[Verwacht_longontsteking]]</f>
        <v>442.60000000000036</v>
      </c>
      <c r="S37" s="1">
        <v>0.91</v>
      </c>
      <c r="T37" s="1">
        <f>Table1[[#This Row],[Verwacht_longontsteking]]*S37</f>
        <v>4027.6600000000003</v>
      </c>
      <c r="U37" s="1">
        <f>Table1[[#This Row],[Geschat_longontsteking_laag]]-Table1[[#This Row],[Verwacht_longontsteking]]</f>
        <v>-398.33999999999969</v>
      </c>
      <c r="V37" s="1">
        <v>1.33</v>
      </c>
      <c r="W37" s="1">
        <f>Table1[[#This Row],[Verwacht_longontsteking]]*V37</f>
        <v>5886.58</v>
      </c>
      <c r="X37" s="1">
        <f>Table1[[#This Row],[Geschat_longontsteking_hoog]]-Table1[[#This Row],[Verwacht_longontsteking]]</f>
        <v>1460.58</v>
      </c>
      <c r="Y37" s="2">
        <v>0.95</v>
      </c>
      <c r="Z37" s="1" t="s">
        <v>93</v>
      </c>
    </row>
    <row r="38" spans="1:26" x14ac:dyDescent="0.25">
      <c r="A38" s="1" t="s">
        <v>13</v>
      </c>
      <c r="B38" s="1">
        <v>2023</v>
      </c>
      <c r="C38" s="1" t="s">
        <v>19</v>
      </c>
      <c r="D38" s="1" t="s">
        <v>24</v>
      </c>
      <c r="E38" s="1">
        <v>13400</v>
      </c>
      <c r="F38" s="1">
        <v>43</v>
      </c>
      <c r="G38" s="1" t="s">
        <v>46</v>
      </c>
      <c r="H38" s="1" t="s">
        <v>44</v>
      </c>
      <c r="I38" s="1" t="s">
        <v>36</v>
      </c>
      <c r="J38" s="1">
        <v>1000</v>
      </c>
      <c r="K38" s="1">
        <v>2015</v>
      </c>
      <c r="M38" s="1" t="s">
        <v>31</v>
      </c>
      <c r="N38" s="1">
        <v>236708</v>
      </c>
      <c r="O38" s="1">
        <v>4426</v>
      </c>
      <c r="P38" s="1">
        <v>1.18</v>
      </c>
      <c r="Q38" s="1">
        <f>Table1[[#This Row],[Verwacht_longontsteking]]*Table1[[#This Row],[OR]]</f>
        <v>5222.6799999999994</v>
      </c>
      <c r="R38" s="1">
        <f>Table1[[#This Row],[Geschat_longontsteking]]-Table1[[#This Row],[Verwacht_longontsteking]]</f>
        <v>796.67999999999938</v>
      </c>
      <c r="S38" s="1">
        <v>0.94</v>
      </c>
      <c r="T38" s="1">
        <f>Table1[[#This Row],[Verwacht_longontsteking]]*S38</f>
        <v>4160.4399999999996</v>
      </c>
      <c r="U38" s="1">
        <f>Table1[[#This Row],[Geschat_longontsteking_laag]]-Table1[[#This Row],[Verwacht_longontsteking]]</f>
        <v>-265.5600000000004</v>
      </c>
      <c r="V38" s="1">
        <v>1.46</v>
      </c>
      <c r="W38" s="1">
        <f>Table1[[#This Row],[Verwacht_longontsteking]]*V38</f>
        <v>6461.96</v>
      </c>
      <c r="X38" s="1">
        <f>Table1[[#This Row],[Geschat_longontsteking_hoog]]-Table1[[#This Row],[Verwacht_longontsteking]]</f>
        <v>2035.96</v>
      </c>
      <c r="Y38" s="2">
        <v>0.95</v>
      </c>
      <c r="Z38" s="1" t="s">
        <v>93</v>
      </c>
    </row>
    <row r="39" spans="1:26" x14ac:dyDescent="0.25">
      <c r="A39" s="1" t="s">
        <v>11</v>
      </c>
      <c r="B39" s="1">
        <v>2019</v>
      </c>
      <c r="C39" s="1" t="s">
        <v>19</v>
      </c>
      <c r="D39" s="1" t="s">
        <v>23</v>
      </c>
      <c r="E39" s="1">
        <v>90183</v>
      </c>
      <c r="F39" s="1">
        <v>23</v>
      </c>
      <c r="G39" s="1" t="s">
        <v>40</v>
      </c>
      <c r="H39" s="1" t="s">
        <v>44</v>
      </c>
      <c r="I39" s="1" t="s">
        <v>36</v>
      </c>
      <c r="J39" s="1">
        <v>1000</v>
      </c>
      <c r="K39" s="1">
        <v>2016</v>
      </c>
      <c r="M39" s="1" t="s">
        <v>31</v>
      </c>
      <c r="N39" s="1">
        <v>236708</v>
      </c>
      <c r="O39" s="1">
        <v>4426</v>
      </c>
      <c r="P39" s="1">
        <v>1.17</v>
      </c>
      <c r="Q39" s="1">
        <f>Table1[[#This Row],[Verwacht_longontsteking]]*Table1[[#This Row],[OR]]</f>
        <v>5178.42</v>
      </c>
      <c r="R39" s="1">
        <f>Table1[[#This Row],[Geschat_longontsteking]]-Table1[[#This Row],[Verwacht_longontsteking]]</f>
        <v>752.42000000000007</v>
      </c>
      <c r="S39" s="1">
        <v>0.88</v>
      </c>
      <c r="T39" s="1">
        <f>Table1[[#This Row],[Verwacht_longontsteking]]*S39</f>
        <v>3894.88</v>
      </c>
      <c r="U39" s="1">
        <f>Table1[[#This Row],[Geschat_longontsteking_laag]]-Table1[[#This Row],[Verwacht_longontsteking]]</f>
        <v>-531.11999999999989</v>
      </c>
      <c r="V39" s="1">
        <v>1.56</v>
      </c>
      <c r="W39" s="1">
        <f>Table1[[#This Row],[Verwacht_longontsteking]]*V39</f>
        <v>6904.56</v>
      </c>
      <c r="X39" s="1">
        <f>Table1[[#This Row],[Geschat_longontsteking_hoog]]-Table1[[#This Row],[Verwacht_longontsteking]]</f>
        <v>2478.5600000000004</v>
      </c>
      <c r="Y39" s="2">
        <v>0.95</v>
      </c>
      <c r="Z39" s="1" t="s">
        <v>93</v>
      </c>
    </row>
    <row r="40" spans="1:26" x14ac:dyDescent="0.25">
      <c r="A40" s="1" t="s">
        <v>11</v>
      </c>
      <c r="B40" s="1">
        <v>2019</v>
      </c>
      <c r="C40" s="1" t="s">
        <v>19</v>
      </c>
      <c r="D40" s="1" t="s">
        <v>23</v>
      </c>
      <c r="E40" s="1">
        <v>90183</v>
      </c>
      <c r="F40" s="1">
        <v>23</v>
      </c>
      <c r="G40" s="1" t="s">
        <v>40</v>
      </c>
      <c r="H40" s="1" t="s">
        <v>44</v>
      </c>
      <c r="I40" s="1" t="s">
        <v>35</v>
      </c>
      <c r="J40" s="1">
        <v>1000</v>
      </c>
      <c r="K40" s="1">
        <v>2016</v>
      </c>
      <c r="M40" s="1" t="s">
        <v>31</v>
      </c>
      <c r="N40" s="1">
        <v>236708</v>
      </c>
      <c r="O40" s="1">
        <v>4426</v>
      </c>
      <c r="P40" s="1">
        <v>1.03</v>
      </c>
      <c r="Q40" s="1">
        <f>Table1[[#This Row],[Verwacht_longontsteking]]*Table1[[#This Row],[OR]]</f>
        <v>4558.78</v>
      </c>
      <c r="R40" s="1">
        <f>Table1[[#This Row],[Geschat_longontsteking]]-Table1[[#This Row],[Verwacht_longontsteking]]</f>
        <v>132.77999999999975</v>
      </c>
      <c r="S40" s="1">
        <v>0.84</v>
      </c>
      <c r="T40" s="1">
        <f>Table1[[#This Row],[Verwacht_longontsteking]]*S40</f>
        <v>3717.8399999999997</v>
      </c>
      <c r="U40" s="1">
        <f>Table1[[#This Row],[Geschat_longontsteking_laag]]-Table1[[#This Row],[Verwacht_longontsteking]]</f>
        <v>-708.16000000000031</v>
      </c>
      <c r="V40" s="1">
        <v>1.26</v>
      </c>
      <c r="W40" s="1">
        <f>Table1[[#This Row],[Verwacht_longontsteking]]*V40</f>
        <v>5576.76</v>
      </c>
      <c r="X40" s="1">
        <f>Table1[[#This Row],[Geschat_longontsteking_hoog]]-Table1[[#This Row],[Verwacht_longontsteking]]</f>
        <v>1150.7600000000002</v>
      </c>
      <c r="Y40" s="2">
        <v>0.95</v>
      </c>
      <c r="Z40" s="1" t="s">
        <v>93</v>
      </c>
    </row>
    <row r="41" spans="1:26" x14ac:dyDescent="0.25">
      <c r="A41" s="1" t="s">
        <v>13</v>
      </c>
      <c r="B41" s="1">
        <v>2023</v>
      </c>
      <c r="C41" s="1" t="s">
        <v>19</v>
      </c>
      <c r="D41" s="1" t="s">
        <v>24</v>
      </c>
      <c r="E41" s="1">
        <v>13400</v>
      </c>
      <c r="F41" s="1">
        <v>43</v>
      </c>
      <c r="G41" s="1" t="s">
        <v>46</v>
      </c>
      <c r="H41" s="1" t="s">
        <v>44</v>
      </c>
      <c r="I41" s="1" t="s">
        <v>36</v>
      </c>
      <c r="J41" s="1">
        <v>1000</v>
      </c>
      <c r="K41" s="1">
        <v>2016</v>
      </c>
      <c r="M41" s="1" t="s">
        <v>31</v>
      </c>
      <c r="N41" s="1">
        <v>236708</v>
      </c>
      <c r="O41" s="1">
        <v>4426</v>
      </c>
      <c r="P41" s="1">
        <v>1.1100000000000001</v>
      </c>
      <c r="Q41" s="1">
        <f>Table1[[#This Row],[Verwacht_longontsteking]]*Table1[[#This Row],[OR]]</f>
        <v>4912.8600000000006</v>
      </c>
      <c r="R41" s="1">
        <f>Table1[[#This Row],[Geschat_longontsteking]]-Table1[[#This Row],[Verwacht_longontsteking]]</f>
        <v>486.86000000000058</v>
      </c>
      <c r="S41" s="1">
        <v>0.89</v>
      </c>
      <c r="T41" s="1">
        <f>Table1[[#This Row],[Verwacht_longontsteking]]*S41</f>
        <v>3939.14</v>
      </c>
      <c r="U41" s="1">
        <f>Table1[[#This Row],[Geschat_longontsteking_laag]]-Table1[[#This Row],[Verwacht_longontsteking]]</f>
        <v>-486.86000000000013</v>
      </c>
      <c r="V41" s="1">
        <v>1.39</v>
      </c>
      <c r="W41" s="1">
        <f>Table1[[#This Row],[Verwacht_longontsteking]]*V41</f>
        <v>6152.1399999999994</v>
      </c>
      <c r="X41" s="1">
        <f>Table1[[#This Row],[Geschat_longontsteking_hoog]]-Table1[[#This Row],[Verwacht_longontsteking]]</f>
        <v>1726.1399999999994</v>
      </c>
      <c r="Y41" s="2">
        <v>0.95</v>
      </c>
      <c r="Z41" s="1" t="s">
        <v>93</v>
      </c>
    </row>
    <row r="42" spans="1:26" x14ac:dyDescent="0.25">
      <c r="A42" s="1" t="s">
        <v>13</v>
      </c>
      <c r="B42" s="1">
        <v>2023</v>
      </c>
      <c r="C42" s="1" t="s">
        <v>19</v>
      </c>
      <c r="D42" s="1" t="s">
        <v>24</v>
      </c>
      <c r="E42" s="1">
        <v>13400</v>
      </c>
      <c r="F42" s="1">
        <v>43</v>
      </c>
      <c r="G42" s="1" t="s">
        <v>46</v>
      </c>
      <c r="H42" s="1" t="s">
        <v>44</v>
      </c>
      <c r="I42" s="1" t="s">
        <v>36</v>
      </c>
      <c r="J42" s="1">
        <v>1000</v>
      </c>
      <c r="K42" s="1">
        <v>2017</v>
      </c>
      <c r="M42" s="1" t="s">
        <v>31</v>
      </c>
      <c r="N42" s="1">
        <v>236708</v>
      </c>
      <c r="O42" s="1">
        <v>4426</v>
      </c>
      <c r="P42" s="1">
        <v>1.1200000000000001</v>
      </c>
      <c r="Q42" s="1">
        <f>Table1[[#This Row],[Verwacht_longontsteking]]*Table1[[#This Row],[OR]]</f>
        <v>4957.1200000000008</v>
      </c>
      <c r="R42" s="1">
        <f>Table1[[#This Row],[Geschat_longontsteking]]-Table1[[#This Row],[Verwacht_longontsteking]]</f>
        <v>531.1200000000008</v>
      </c>
      <c r="S42" s="1">
        <v>0.9</v>
      </c>
      <c r="T42" s="1">
        <f>Table1[[#This Row],[Verwacht_longontsteking]]*S42</f>
        <v>3983.4</v>
      </c>
      <c r="U42" s="1">
        <f>Table1[[#This Row],[Geschat_longontsteking_laag]]-Table1[[#This Row],[Verwacht_longontsteking]]</f>
        <v>-442.59999999999991</v>
      </c>
      <c r="V42" s="1">
        <v>1.39</v>
      </c>
      <c r="W42" s="1">
        <f>Table1[[#This Row],[Verwacht_longontsteking]]*V42</f>
        <v>6152.1399999999994</v>
      </c>
      <c r="X42" s="1">
        <f>Table1[[#This Row],[Geschat_longontsteking_hoog]]-Table1[[#This Row],[Verwacht_longontsteking]]</f>
        <v>1726.1399999999994</v>
      </c>
      <c r="Y42" s="2">
        <v>0.95</v>
      </c>
      <c r="Z42" s="1" t="s">
        <v>93</v>
      </c>
    </row>
    <row r="43" spans="1:26" x14ac:dyDescent="0.25">
      <c r="A43" s="1" t="s">
        <v>5</v>
      </c>
      <c r="B43" s="1">
        <v>2016</v>
      </c>
      <c r="C43" s="1" t="s">
        <v>18</v>
      </c>
      <c r="D43" s="1" t="s">
        <v>15</v>
      </c>
      <c r="E43" s="1">
        <v>1504</v>
      </c>
      <c r="G43" s="1" t="s">
        <v>43</v>
      </c>
      <c r="H43" s="1" t="s">
        <v>42</v>
      </c>
      <c r="I43" s="1" t="s">
        <v>28</v>
      </c>
      <c r="J43" s="1">
        <v>1000</v>
      </c>
      <c r="K43" s="1">
        <v>2009</v>
      </c>
      <c r="M43" s="1" t="s">
        <v>31</v>
      </c>
      <c r="N43" s="1">
        <v>236708</v>
      </c>
      <c r="O43" s="1">
        <v>4426</v>
      </c>
      <c r="P43" s="1">
        <v>1.79</v>
      </c>
      <c r="Q43" s="1">
        <f>Table1[[#This Row],[Verwacht_longontsteking]]*Table1[[#This Row],[OR]]</f>
        <v>7922.54</v>
      </c>
      <c r="R43" s="1">
        <f>Table1[[#This Row],[Geschat_longontsteking]]-Table1[[#This Row],[Verwacht_longontsteking]]</f>
        <v>3496.54</v>
      </c>
      <c r="S43" s="1">
        <v>1.03</v>
      </c>
      <c r="T43" s="1">
        <f>Table1[[#This Row],[Verwacht_longontsteking]]*S43</f>
        <v>4558.78</v>
      </c>
      <c r="U43" s="1">
        <f>Table1[[#This Row],[Geschat_longontsteking_laag]]-Table1[[#This Row],[Verwacht_longontsteking]]</f>
        <v>132.77999999999975</v>
      </c>
      <c r="V43" s="1">
        <v>3.12</v>
      </c>
      <c r="W43" s="1">
        <f>Table1[[#This Row],[Verwacht_longontsteking]]*V43</f>
        <v>13809.12</v>
      </c>
      <c r="X43" s="1">
        <f>Table1[[#This Row],[Geschat_longontsteking_hoog]]-Table1[[#This Row],[Verwacht_longontsteking]]</f>
        <v>9383.1200000000008</v>
      </c>
      <c r="Y43" s="2">
        <v>0.95</v>
      </c>
      <c r="Z43" s="1" t="s">
        <v>92</v>
      </c>
    </row>
    <row r="44" spans="1:26" x14ac:dyDescent="0.25">
      <c r="A44" s="1" t="s">
        <v>10</v>
      </c>
      <c r="B44" s="1">
        <v>2018</v>
      </c>
      <c r="C44" s="1" t="s">
        <v>18</v>
      </c>
      <c r="D44" s="1" t="s">
        <v>22</v>
      </c>
      <c r="E44" s="1">
        <v>941</v>
      </c>
      <c r="G44" s="1" t="s">
        <v>40</v>
      </c>
      <c r="H44" s="1" t="s">
        <v>41</v>
      </c>
      <c r="I44" s="1" t="s">
        <v>28</v>
      </c>
      <c r="J44" s="1">
        <v>1000</v>
      </c>
      <c r="K44" s="1" t="s">
        <v>22</v>
      </c>
      <c r="M44" s="1" t="s">
        <v>31</v>
      </c>
      <c r="N44" s="1">
        <v>236708</v>
      </c>
      <c r="O44" s="1">
        <v>4426</v>
      </c>
      <c r="P44" s="1">
        <v>2.5</v>
      </c>
      <c r="Q44" s="1">
        <f>Table1[[#This Row],[Verwacht_longontsteking]]*Table1[[#This Row],[OR]]</f>
        <v>11065</v>
      </c>
      <c r="R44" s="1">
        <f>Table1[[#This Row],[Geschat_longontsteking]]-Table1[[#This Row],[Verwacht_longontsteking]]</f>
        <v>6639</v>
      </c>
      <c r="S44" s="1">
        <v>1.4</v>
      </c>
      <c r="T44" s="1">
        <f>Table1[[#This Row],[Verwacht_longontsteking]]*S44</f>
        <v>6196.4</v>
      </c>
      <c r="U44" s="1">
        <f>Table1[[#This Row],[Geschat_longontsteking_laag]]-Table1[[#This Row],[Verwacht_longontsteking]]</f>
        <v>1770.3999999999996</v>
      </c>
      <c r="V44" s="1">
        <v>4.3</v>
      </c>
      <c r="W44" s="1">
        <f>Table1[[#This Row],[Verwacht_longontsteking]]*V44</f>
        <v>19031.8</v>
      </c>
      <c r="X44" s="1">
        <f>Table1[[#This Row],[Geschat_longontsteking_hoog]]-Table1[[#This Row],[Verwacht_longontsteking]]</f>
        <v>14605.8</v>
      </c>
      <c r="Y44" s="2">
        <v>0.95</v>
      </c>
      <c r="Z44" s="1" t="s">
        <v>92</v>
      </c>
    </row>
    <row r="45" spans="1:26" x14ac:dyDescent="0.25">
      <c r="A45" s="1" t="s">
        <v>7</v>
      </c>
      <c r="B45" s="1">
        <v>2017</v>
      </c>
      <c r="C45" s="1" t="s">
        <v>18</v>
      </c>
      <c r="D45" s="1" t="s">
        <v>16</v>
      </c>
      <c r="E45" s="1">
        <v>2426</v>
      </c>
      <c r="G45" s="1" t="s">
        <v>40</v>
      </c>
      <c r="H45" s="1" t="s">
        <v>41</v>
      </c>
      <c r="I45" s="1" t="s">
        <v>28</v>
      </c>
      <c r="J45" s="1">
        <v>1000</v>
      </c>
      <c r="K45" s="1" t="s">
        <v>16</v>
      </c>
      <c r="M45" s="1" t="s">
        <v>31</v>
      </c>
      <c r="N45" s="1">
        <v>236708</v>
      </c>
      <c r="O45" s="1">
        <v>4426</v>
      </c>
      <c r="P45" s="1">
        <v>2</v>
      </c>
      <c r="Q45" s="1">
        <f>Table1[[#This Row],[Verwacht_longontsteking]]*Table1[[#This Row],[OR]]</f>
        <v>8852</v>
      </c>
      <c r="R45" s="1">
        <f>Table1[[#This Row],[Geschat_longontsteking]]-Table1[[#This Row],[Verwacht_longontsteking]]</f>
        <v>4426</v>
      </c>
      <c r="S45" s="1">
        <v>1.3</v>
      </c>
      <c r="T45" s="1">
        <f>Table1[[#This Row],[Verwacht_longontsteking]]*S45</f>
        <v>5753.8</v>
      </c>
      <c r="U45" s="1">
        <f>Table1[[#This Row],[Geschat_longontsteking_laag]]-Table1[[#This Row],[Verwacht_longontsteking]]</f>
        <v>1327.8000000000002</v>
      </c>
      <c r="V45" s="1">
        <v>3.1</v>
      </c>
      <c r="W45" s="1">
        <f>Table1[[#This Row],[Verwacht_longontsteking]]*V45</f>
        <v>13720.6</v>
      </c>
      <c r="X45" s="1">
        <f>Table1[[#This Row],[Geschat_longontsteking_hoog]]-Table1[[#This Row],[Verwacht_longontsteking]]</f>
        <v>9294.6</v>
      </c>
      <c r="Y45" s="2">
        <v>0.95</v>
      </c>
      <c r="Z45" s="1" t="s">
        <v>92</v>
      </c>
    </row>
    <row r="46" spans="1:26" x14ac:dyDescent="0.25">
      <c r="A46" s="1" t="s">
        <v>4</v>
      </c>
      <c r="B46" s="1">
        <v>2019</v>
      </c>
      <c r="C46" s="1" t="s">
        <v>18</v>
      </c>
      <c r="D46" s="1" t="s">
        <v>16</v>
      </c>
      <c r="E46" s="1">
        <v>2457</v>
      </c>
      <c r="G46" s="1" t="s">
        <v>40</v>
      </c>
      <c r="H46" s="1" t="s">
        <v>41</v>
      </c>
      <c r="I46" s="1" t="s">
        <v>28</v>
      </c>
      <c r="J46" s="1">
        <v>1000</v>
      </c>
      <c r="K46" s="1" t="s">
        <v>16</v>
      </c>
      <c r="M46" s="1" t="s">
        <v>31</v>
      </c>
      <c r="N46" s="1">
        <v>236708</v>
      </c>
      <c r="O46" s="1">
        <v>4426</v>
      </c>
      <c r="P46" s="1">
        <v>1.78</v>
      </c>
      <c r="Q46" s="1">
        <f>Table1[[#This Row],[Verwacht_longontsteking]]*Table1[[#This Row],[OR]]</f>
        <v>7878.28</v>
      </c>
      <c r="R46" s="1">
        <f>Table1[[#This Row],[Geschat_longontsteking]]-Table1[[#This Row],[Verwacht_longontsteking]]</f>
        <v>3452.2799999999997</v>
      </c>
      <c r="S46" s="1">
        <v>1.07</v>
      </c>
      <c r="T46" s="1">
        <f>Table1[[#This Row],[Verwacht_longontsteking]]*S46</f>
        <v>4735.8200000000006</v>
      </c>
      <c r="U46" s="1">
        <f>Table1[[#This Row],[Geschat_longontsteking_laag]]-Table1[[#This Row],[Verwacht_longontsteking]]</f>
        <v>309.82000000000062</v>
      </c>
      <c r="V46" s="1">
        <v>2.95</v>
      </c>
      <c r="W46" s="1">
        <f>Table1[[#This Row],[Verwacht_longontsteking]]*V46</f>
        <v>13056.7</v>
      </c>
      <c r="X46" s="1">
        <f>Table1[[#This Row],[Geschat_longontsteking_hoog]]-Table1[[#This Row],[Verwacht_longontsteking]]</f>
        <v>8630.7000000000007</v>
      </c>
      <c r="Y46" s="2">
        <v>0.95</v>
      </c>
      <c r="Z46" s="1" t="s">
        <v>92</v>
      </c>
    </row>
    <row r="47" spans="1:26" x14ac:dyDescent="0.25">
      <c r="A47" s="1" t="s">
        <v>11</v>
      </c>
      <c r="B47" s="1">
        <v>2019</v>
      </c>
      <c r="C47" s="1" t="s">
        <v>19</v>
      </c>
      <c r="D47" s="1" t="s">
        <v>23</v>
      </c>
      <c r="E47" s="1">
        <v>90183</v>
      </c>
      <c r="F47" s="1">
        <v>23</v>
      </c>
      <c r="G47" s="1" t="s">
        <v>40</v>
      </c>
      <c r="H47" s="1" t="s">
        <v>44</v>
      </c>
      <c r="I47" s="1" t="s">
        <v>28</v>
      </c>
      <c r="J47" s="1">
        <v>1000</v>
      </c>
      <c r="K47" s="1" t="s">
        <v>23</v>
      </c>
      <c r="M47" s="1" t="s">
        <v>31</v>
      </c>
      <c r="N47" s="1">
        <v>236708</v>
      </c>
      <c r="O47" s="1">
        <v>4426</v>
      </c>
      <c r="P47" s="1">
        <v>1.36</v>
      </c>
      <c r="Q47" s="1">
        <f>Table1[[#This Row],[Verwacht_longontsteking]]*Table1[[#This Row],[OR]]</f>
        <v>6019.3600000000006</v>
      </c>
      <c r="R47" s="1">
        <f>Table1[[#This Row],[Geschat_longontsteking]]-Table1[[#This Row],[Verwacht_longontsteking]]</f>
        <v>1593.3600000000006</v>
      </c>
      <c r="S47" s="1">
        <v>1.21</v>
      </c>
      <c r="T47" s="1">
        <f>Table1[[#This Row],[Verwacht_longontsteking]]*S47</f>
        <v>5355.46</v>
      </c>
      <c r="U47" s="1">
        <f>Table1[[#This Row],[Geschat_longontsteking_laag]]-Table1[[#This Row],[Verwacht_longontsteking]]</f>
        <v>929.46</v>
      </c>
      <c r="V47" s="1">
        <v>1.53</v>
      </c>
      <c r="W47" s="1">
        <f>Table1[[#This Row],[Verwacht_longontsteking]]*V47</f>
        <v>6771.78</v>
      </c>
      <c r="X47" s="1">
        <f>Table1[[#This Row],[Geschat_longontsteking_hoog]]-Table1[[#This Row],[Verwacht_longontsteking]]</f>
        <v>2345.7799999999997</v>
      </c>
      <c r="Y47" s="2">
        <v>0.95</v>
      </c>
      <c r="Z47" s="1" t="s">
        <v>92</v>
      </c>
    </row>
    <row r="48" spans="1:26" x14ac:dyDescent="0.25">
      <c r="A48" s="1" t="s">
        <v>11</v>
      </c>
      <c r="B48" s="1">
        <v>2019</v>
      </c>
      <c r="C48" s="1" t="s">
        <v>19</v>
      </c>
      <c r="D48" s="1" t="s">
        <v>23</v>
      </c>
      <c r="E48" s="1">
        <v>90183</v>
      </c>
      <c r="F48" s="1">
        <v>23</v>
      </c>
      <c r="G48" s="1" t="s">
        <v>40</v>
      </c>
      <c r="H48" s="1" t="s">
        <v>44</v>
      </c>
      <c r="I48" s="1" t="s">
        <v>35</v>
      </c>
      <c r="J48" s="1">
        <v>1000</v>
      </c>
      <c r="K48" s="1" t="s">
        <v>23</v>
      </c>
      <c r="M48" s="1" t="s">
        <v>31</v>
      </c>
      <c r="N48" s="1">
        <v>236708</v>
      </c>
      <c r="O48" s="1">
        <v>4426</v>
      </c>
      <c r="P48" s="1">
        <v>1.1100000000000001</v>
      </c>
      <c r="Q48" s="1">
        <f>Table1[[#This Row],[Verwacht_longontsteking]]*Table1[[#This Row],[OR]]</f>
        <v>4912.8600000000006</v>
      </c>
      <c r="R48" s="1">
        <f>Table1[[#This Row],[Geschat_longontsteking]]-Table1[[#This Row],[Verwacht_longontsteking]]</f>
        <v>486.86000000000058</v>
      </c>
      <c r="S48" s="1">
        <v>0.97</v>
      </c>
      <c r="T48" s="1">
        <f>Table1[[#This Row],[Verwacht_longontsteking]]*S48</f>
        <v>4293.22</v>
      </c>
      <c r="U48" s="1">
        <f>Table1[[#This Row],[Geschat_longontsteking_laag]]-Table1[[#This Row],[Verwacht_longontsteking]]</f>
        <v>-132.77999999999975</v>
      </c>
      <c r="V48" s="1">
        <v>1.28</v>
      </c>
      <c r="W48" s="1">
        <f>Table1[[#This Row],[Verwacht_longontsteking]]*V48</f>
        <v>5665.28</v>
      </c>
      <c r="X48" s="1">
        <f>Table1[[#This Row],[Geschat_longontsteking_hoog]]-Table1[[#This Row],[Verwacht_longontsteking]]</f>
        <v>1239.2799999999997</v>
      </c>
      <c r="Y48" s="2">
        <v>0.95</v>
      </c>
      <c r="Z48" s="1" t="s">
        <v>93</v>
      </c>
    </row>
    <row r="49" spans="1:26" x14ac:dyDescent="0.25">
      <c r="A49" s="1" t="s">
        <v>11</v>
      </c>
      <c r="B49" s="1">
        <v>2019</v>
      </c>
      <c r="C49" s="1" t="s">
        <v>19</v>
      </c>
      <c r="D49" s="1" t="s">
        <v>23</v>
      </c>
      <c r="E49" s="1">
        <v>90183</v>
      </c>
      <c r="F49" s="1">
        <v>23</v>
      </c>
      <c r="G49" s="1" t="s">
        <v>40</v>
      </c>
      <c r="H49" s="1" t="s">
        <v>44</v>
      </c>
      <c r="I49" s="1" t="s">
        <v>36</v>
      </c>
      <c r="J49" s="1">
        <v>1000</v>
      </c>
      <c r="K49" s="1" t="s">
        <v>23</v>
      </c>
      <c r="M49" s="1" t="s">
        <v>31</v>
      </c>
      <c r="N49" s="1">
        <v>236708</v>
      </c>
      <c r="O49" s="1">
        <v>4426</v>
      </c>
      <c r="P49" s="1">
        <v>1.22</v>
      </c>
      <c r="Q49" s="1">
        <f>Table1[[#This Row],[Verwacht_longontsteking]]*Table1[[#This Row],[OR]]</f>
        <v>5399.72</v>
      </c>
      <c r="R49" s="1">
        <f>Table1[[#This Row],[Geschat_longontsteking]]-Table1[[#This Row],[Verwacht_longontsteking]]</f>
        <v>973.72000000000025</v>
      </c>
      <c r="S49" s="1">
        <v>0.97</v>
      </c>
      <c r="T49" s="1">
        <f>Table1[[#This Row],[Verwacht_longontsteking]]*S49</f>
        <v>4293.22</v>
      </c>
      <c r="U49" s="1">
        <f>Table1[[#This Row],[Geschat_longontsteking_laag]]-Table1[[#This Row],[Verwacht_longontsteking]]</f>
        <v>-132.77999999999975</v>
      </c>
      <c r="V49" s="1">
        <v>1.55</v>
      </c>
      <c r="W49" s="1">
        <f>Table1[[#This Row],[Verwacht_longontsteking]]*V49</f>
        <v>6860.3</v>
      </c>
      <c r="X49" s="1">
        <f>Table1[[#This Row],[Geschat_longontsteking_hoog]]-Table1[[#This Row],[Verwacht_longontsteking]]</f>
        <v>2434.3000000000002</v>
      </c>
      <c r="Y49" s="2">
        <v>0.95</v>
      </c>
      <c r="Z49" s="1" t="s">
        <v>93</v>
      </c>
    </row>
    <row r="50" spans="1:26" x14ac:dyDescent="0.25">
      <c r="A50" s="1" t="s">
        <v>13</v>
      </c>
      <c r="B50" s="1">
        <v>2023</v>
      </c>
      <c r="C50" s="1" t="s">
        <v>19</v>
      </c>
      <c r="D50" s="1" t="s">
        <v>24</v>
      </c>
      <c r="E50" s="1">
        <v>13400</v>
      </c>
      <c r="F50" s="1">
        <v>43</v>
      </c>
      <c r="G50" s="1" t="s">
        <v>46</v>
      </c>
      <c r="H50" s="1" t="s">
        <v>44</v>
      </c>
      <c r="I50" s="1" t="s">
        <v>36</v>
      </c>
      <c r="J50" s="1">
        <v>1000</v>
      </c>
      <c r="K50" s="1" t="s">
        <v>24</v>
      </c>
      <c r="M50" s="1" t="s">
        <v>31</v>
      </c>
      <c r="N50" s="1">
        <v>236708</v>
      </c>
      <c r="O50" s="1">
        <v>4426</v>
      </c>
      <c r="P50" s="1">
        <v>1.18</v>
      </c>
      <c r="Q50" s="1">
        <f>Table1[[#This Row],[Verwacht_longontsteking]]*Table1[[#This Row],[OR]]</f>
        <v>5222.6799999999994</v>
      </c>
      <c r="R50" s="1">
        <f>Table1[[#This Row],[Geschat_longontsteking]]-Table1[[#This Row],[Verwacht_longontsteking]]</f>
        <v>796.67999999999938</v>
      </c>
      <c r="S50" s="1">
        <v>0.9</v>
      </c>
      <c r="T50" s="1">
        <f>Table1[[#This Row],[Verwacht_longontsteking]]*S50</f>
        <v>3983.4</v>
      </c>
      <c r="U50" s="1">
        <f>Table1[[#This Row],[Geschat_longontsteking_laag]]-Table1[[#This Row],[Verwacht_longontsteking]]</f>
        <v>-442.59999999999991</v>
      </c>
      <c r="V50" s="1">
        <v>1.55</v>
      </c>
      <c r="W50" s="1">
        <f>Table1[[#This Row],[Verwacht_longontsteking]]*V50</f>
        <v>6860.3</v>
      </c>
      <c r="X50" s="1">
        <f>Table1[[#This Row],[Geschat_longontsteking_hoog]]-Table1[[#This Row],[Verwacht_longontsteking]]</f>
        <v>2434.3000000000002</v>
      </c>
      <c r="Y50" s="2">
        <v>0.95</v>
      </c>
      <c r="Z50" s="1" t="s">
        <v>93</v>
      </c>
    </row>
    <row r="51" spans="1:26" x14ac:dyDescent="0.25">
      <c r="A51" s="1" t="s">
        <v>13</v>
      </c>
      <c r="B51" s="1">
        <v>2023</v>
      </c>
      <c r="C51" s="1" t="s">
        <v>19</v>
      </c>
      <c r="D51" s="1" t="s">
        <v>24</v>
      </c>
      <c r="E51" s="1">
        <v>13400</v>
      </c>
      <c r="F51" s="1">
        <v>43</v>
      </c>
      <c r="G51" s="1" t="s">
        <v>47</v>
      </c>
      <c r="H51" s="1" t="s">
        <v>44</v>
      </c>
      <c r="I51" s="1" t="s">
        <v>36</v>
      </c>
      <c r="J51" s="1">
        <v>1000</v>
      </c>
      <c r="K51" s="1" t="s">
        <v>24</v>
      </c>
      <c r="M51" s="1" t="s">
        <v>31</v>
      </c>
      <c r="N51" s="1">
        <v>236708</v>
      </c>
      <c r="O51" s="1">
        <v>4426</v>
      </c>
      <c r="P51" s="1">
        <v>1.19</v>
      </c>
      <c r="Q51" s="1">
        <f>Table1[[#This Row],[Verwacht_longontsteking]]*Table1[[#This Row],[OR]]</f>
        <v>5266.94</v>
      </c>
      <c r="R51" s="1">
        <f>Table1[[#This Row],[Geschat_longontsteking]]-Table1[[#This Row],[Verwacht_longontsteking]]</f>
        <v>840.9399999999996</v>
      </c>
      <c r="S51" s="1">
        <v>1</v>
      </c>
      <c r="T51" s="1">
        <f>Table1[[#This Row],[Verwacht_longontsteking]]*S51</f>
        <v>4426</v>
      </c>
      <c r="U51" s="1">
        <f>Table1[[#This Row],[Geschat_longontsteking_laag]]-Table1[[#This Row],[Verwacht_longontsteking]]</f>
        <v>0</v>
      </c>
      <c r="V51" s="1">
        <v>1.41</v>
      </c>
      <c r="W51" s="1">
        <f>Table1[[#This Row],[Verwacht_longontsteking]]*V51</f>
        <v>6240.66</v>
      </c>
      <c r="X51" s="1">
        <f>Table1[[#This Row],[Geschat_longontsteking_hoog]]-Table1[[#This Row],[Verwacht_longontsteking]]</f>
        <v>1814.6599999999999</v>
      </c>
      <c r="Y51" s="2">
        <v>0.95</v>
      </c>
      <c r="Z51" s="1" t="s">
        <v>93</v>
      </c>
    </row>
    <row r="52" spans="1:26" x14ac:dyDescent="0.25">
      <c r="A52" s="1" t="s">
        <v>14</v>
      </c>
      <c r="B52" s="1">
        <v>2023</v>
      </c>
      <c r="C52" s="1" t="s">
        <v>19</v>
      </c>
      <c r="D52" s="1" t="s">
        <v>56</v>
      </c>
      <c r="E52" s="1">
        <v>162941</v>
      </c>
      <c r="F52" s="1">
        <v>50</v>
      </c>
      <c r="G52" s="1" t="s">
        <v>40</v>
      </c>
      <c r="H52" s="1" t="s">
        <v>44</v>
      </c>
      <c r="I52" s="1" t="s">
        <v>78</v>
      </c>
      <c r="J52" s="1">
        <v>1000</v>
      </c>
      <c r="K52" s="1" t="s">
        <v>56</v>
      </c>
      <c r="L52" s="1" t="s">
        <v>79</v>
      </c>
      <c r="M52" s="1" t="s">
        <v>55</v>
      </c>
      <c r="N52" s="1">
        <v>236708</v>
      </c>
      <c r="O52" s="1">
        <v>4426</v>
      </c>
      <c r="P52" s="1">
        <v>1.1599999999999999</v>
      </c>
      <c r="Q52" s="1">
        <f>Table1[[#This Row],[Verwacht_longontsteking]]*Table1[[#This Row],[OR]]</f>
        <v>5134.16</v>
      </c>
      <c r="R52" s="1">
        <f>Table1[[#This Row],[Geschat_longontsteking]]-Table1[[#This Row],[Verwacht_longontsteking]]</f>
        <v>708.15999999999985</v>
      </c>
      <c r="S52" s="1">
        <v>0.94</v>
      </c>
      <c r="T52" s="1">
        <f>Table1[[#This Row],[Verwacht_longontsteking]]*S52</f>
        <v>4160.4399999999996</v>
      </c>
      <c r="U52" s="1">
        <f>Table1[[#This Row],[Geschat_longontsteking_laag]]-Table1[[#This Row],[Verwacht_longontsteking]]</f>
        <v>-265.5600000000004</v>
      </c>
      <c r="V52" s="1">
        <v>1.44</v>
      </c>
      <c r="W52" s="1">
        <f>Table1[[#This Row],[Verwacht_longontsteking]]*V52</f>
        <v>6373.44</v>
      </c>
      <c r="X52" s="1">
        <f>Table1[[#This Row],[Geschat_longontsteking_hoog]]-Table1[[#This Row],[Verwacht_longontsteking]]</f>
        <v>1947.4399999999996</v>
      </c>
      <c r="Y52" s="2">
        <v>0.95</v>
      </c>
      <c r="Z52" s="1" t="s">
        <v>93</v>
      </c>
    </row>
    <row r="53" spans="1:26" x14ac:dyDescent="0.25">
      <c r="A53" s="1" t="s">
        <v>14</v>
      </c>
      <c r="B53" s="1">
        <v>2023</v>
      </c>
      <c r="C53" s="1" t="s">
        <v>19</v>
      </c>
      <c r="D53" s="1" t="s">
        <v>56</v>
      </c>
      <c r="E53" s="1">
        <v>162941</v>
      </c>
      <c r="F53" s="1">
        <v>50</v>
      </c>
      <c r="G53" s="1" t="s">
        <v>40</v>
      </c>
      <c r="H53" s="1" t="s">
        <v>44</v>
      </c>
      <c r="I53" s="1" t="s">
        <v>78</v>
      </c>
      <c r="J53" s="1">
        <v>1000</v>
      </c>
      <c r="K53" s="1" t="s">
        <v>56</v>
      </c>
      <c r="L53" s="1" t="s">
        <v>80</v>
      </c>
      <c r="M53" s="1" t="s">
        <v>55</v>
      </c>
      <c r="N53" s="1">
        <v>236708</v>
      </c>
      <c r="O53" s="1">
        <v>4426</v>
      </c>
      <c r="P53" s="1">
        <v>0.9</v>
      </c>
      <c r="Q53" s="1">
        <f>Table1[[#This Row],[Verwacht_longontsteking]]*Table1[[#This Row],[OR]]</f>
        <v>3983.4</v>
      </c>
      <c r="R53" s="1">
        <f>Table1[[#This Row],[Geschat_longontsteking]]-Table1[[#This Row],[Verwacht_longontsteking]]</f>
        <v>-442.59999999999991</v>
      </c>
      <c r="S53" s="1">
        <v>0.73</v>
      </c>
      <c r="T53" s="1">
        <f>Table1[[#This Row],[Verwacht_longontsteking]]*S53</f>
        <v>3230.98</v>
      </c>
      <c r="U53" s="1">
        <f>Table1[[#This Row],[Geschat_longontsteking_laag]]-Table1[[#This Row],[Verwacht_longontsteking]]</f>
        <v>-1195.02</v>
      </c>
      <c r="V53" s="1">
        <v>1.1200000000000001</v>
      </c>
      <c r="W53" s="1">
        <f>Table1[[#This Row],[Verwacht_longontsteking]]*V53</f>
        <v>4957.1200000000008</v>
      </c>
      <c r="X53" s="1">
        <f>Table1[[#This Row],[Geschat_longontsteking_hoog]]-Table1[[#This Row],[Verwacht_longontsteking]]</f>
        <v>531.1200000000008</v>
      </c>
      <c r="Y53" s="2">
        <v>0.95</v>
      </c>
      <c r="Z53" s="1" t="s">
        <v>93</v>
      </c>
    </row>
    <row r="54" spans="1:26" x14ac:dyDescent="0.25">
      <c r="A54" s="1" t="s">
        <v>14</v>
      </c>
      <c r="B54" s="1">
        <v>2023</v>
      </c>
      <c r="C54" s="1" t="s">
        <v>19</v>
      </c>
      <c r="D54" s="1" t="s">
        <v>56</v>
      </c>
      <c r="E54" s="1">
        <v>162941</v>
      </c>
      <c r="F54" s="1">
        <v>50</v>
      </c>
      <c r="G54" s="1" t="s">
        <v>40</v>
      </c>
      <c r="H54" s="1" t="s">
        <v>44</v>
      </c>
      <c r="I54" s="1" t="s">
        <v>78</v>
      </c>
      <c r="J54" s="1">
        <v>1000</v>
      </c>
      <c r="K54" s="1" t="s">
        <v>56</v>
      </c>
      <c r="L54" s="1" t="s">
        <v>81</v>
      </c>
      <c r="M54" s="1" t="s">
        <v>55</v>
      </c>
      <c r="N54" s="1">
        <v>236708</v>
      </c>
      <c r="O54" s="1">
        <v>4426</v>
      </c>
      <c r="P54" s="1">
        <v>0.91</v>
      </c>
      <c r="Q54" s="1">
        <f>Table1[[#This Row],[Verwacht_longontsteking]]*Table1[[#This Row],[OR]]</f>
        <v>4027.6600000000003</v>
      </c>
      <c r="R54" s="1">
        <f>Table1[[#This Row],[Geschat_longontsteking]]-Table1[[#This Row],[Verwacht_longontsteking]]</f>
        <v>-398.33999999999969</v>
      </c>
      <c r="S54" s="1">
        <v>0.72</v>
      </c>
      <c r="T54" s="1">
        <f>Table1[[#This Row],[Verwacht_longontsteking]]*S54</f>
        <v>3186.72</v>
      </c>
      <c r="U54" s="1">
        <f>Table1[[#This Row],[Geschat_longontsteking_laag]]-Table1[[#This Row],[Verwacht_longontsteking]]</f>
        <v>-1239.2800000000002</v>
      </c>
      <c r="V54" s="1">
        <v>1.1599999999999999</v>
      </c>
      <c r="W54" s="1">
        <f>Table1[[#This Row],[Verwacht_longontsteking]]*V54</f>
        <v>5134.16</v>
      </c>
      <c r="X54" s="1">
        <f>Table1[[#This Row],[Geschat_longontsteking_hoog]]-Table1[[#This Row],[Verwacht_longontsteking]]</f>
        <v>708.15999999999985</v>
      </c>
      <c r="Y54" s="2">
        <v>0.95</v>
      </c>
      <c r="Z54" s="1" t="s">
        <v>93</v>
      </c>
    </row>
    <row r="55" spans="1:26" x14ac:dyDescent="0.25">
      <c r="A55" s="1" t="s">
        <v>14</v>
      </c>
      <c r="B55" s="1">
        <v>2023</v>
      </c>
      <c r="C55" s="1" t="s">
        <v>19</v>
      </c>
      <c r="D55" s="1" t="s">
        <v>56</v>
      </c>
      <c r="E55" s="1">
        <v>162941</v>
      </c>
      <c r="F55" s="1">
        <v>50</v>
      </c>
      <c r="G55" s="1" t="s">
        <v>40</v>
      </c>
      <c r="H55" s="1" t="s">
        <v>44</v>
      </c>
      <c r="I55" s="1" t="s">
        <v>78</v>
      </c>
      <c r="J55" s="1">
        <v>1000</v>
      </c>
      <c r="K55" s="1" t="s">
        <v>56</v>
      </c>
      <c r="L55" s="1" t="s">
        <v>82</v>
      </c>
      <c r="M55" s="1" t="s">
        <v>55</v>
      </c>
      <c r="N55" s="1">
        <v>236708</v>
      </c>
      <c r="O55" s="1">
        <v>4426</v>
      </c>
      <c r="P55" s="1">
        <v>0.78</v>
      </c>
      <c r="Q55" s="1">
        <f>Table1[[#This Row],[Verwacht_longontsteking]]*Table1[[#This Row],[OR]]</f>
        <v>3452.28</v>
      </c>
      <c r="R55" s="1">
        <f>Table1[[#This Row],[Geschat_longontsteking]]-Table1[[#This Row],[Verwacht_longontsteking]]</f>
        <v>-973.7199999999998</v>
      </c>
      <c r="S55" s="1">
        <v>0.56999999999999995</v>
      </c>
      <c r="T55" s="1">
        <f>Table1[[#This Row],[Verwacht_longontsteking]]*S55</f>
        <v>2522.8199999999997</v>
      </c>
      <c r="U55" s="1">
        <f>Table1[[#This Row],[Geschat_longontsteking_laag]]-Table1[[#This Row],[Verwacht_longontsteking]]</f>
        <v>-1903.1800000000003</v>
      </c>
      <c r="V55" s="1">
        <v>1.07</v>
      </c>
      <c r="W55" s="1">
        <f>Table1[[#This Row],[Verwacht_longontsteking]]*V55</f>
        <v>4735.8200000000006</v>
      </c>
      <c r="X55" s="1">
        <f>Table1[[#This Row],[Geschat_longontsteking_hoog]]-Table1[[#This Row],[Verwacht_longontsteking]]</f>
        <v>309.82000000000062</v>
      </c>
      <c r="Y55" s="2">
        <v>0.95</v>
      </c>
      <c r="Z55" s="1" t="s">
        <v>93</v>
      </c>
    </row>
    <row r="56" spans="1:26" x14ac:dyDescent="0.25">
      <c r="A56" s="1" t="s">
        <v>14</v>
      </c>
      <c r="B56" s="1">
        <v>2023</v>
      </c>
      <c r="C56" s="1" t="s">
        <v>19</v>
      </c>
      <c r="D56" s="1" t="s">
        <v>56</v>
      </c>
      <c r="E56" s="1">
        <v>162941</v>
      </c>
      <c r="F56" s="1">
        <v>50</v>
      </c>
      <c r="G56" s="1" t="s">
        <v>40</v>
      </c>
      <c r="H56" s="1" t="s">
        <v>44</v>
      </c>
      <c r="I56" s="1" t="s">
        <v>78</v>
      </c>
      <c r="J56" s="1">
        <v>1000</v>
      </c>
      <c r="K56" s="1" t="s">
        <v>56</v>
      </c>
      <c r="L56" s="1" t="s">
        <v>83</v>
      </c>
      <c r="M56" s="1" t="s">
        <v>55</v>
      </c>
      <c r="N56" s="1">
        <v>236708</v>
      </c>
      <c r="O56" s="1">
        <v>4426</v>
      </c>
      <c r="P56" s="1">
        <v>1.19</v>
      </c>
      <c r="Q56" s="1">
        <f>Table1[[#This Row],[Verwacht_longontsteking]]*Table1[[#This Row],[OR]]</f>
        <v>5266.94</v>
      </c>
      <c r="R56" s="1">
        <f>Table1[[#This Row],[Geschat_longontsteking]]-Table1[[#This Row],[Verwacht_longontsteking]]</f>
        <v>840.9399999999996</v>
      </c>
      <c r="S56" s="1">
        <v>0.88</v>
      </c>
      <c r="T56" s="1">
        <f>Table1[[#This Row],[Verwacht_longontsteking]]*S56</f>
        <v>3894.88</v>
      </c>
      <c r="U56" s="1">
        <f>Table1[[#This Row],[Geschat_longontsteking_laag]]-Table1[[#This Row],[Verwacht_longontsteking]]</f>
        <v>-531.11999999999989</v>
      </c>
      <c r="V56" s="1">
        <v>1.6</v>
      </c>
      <c r="W56" s="1">
        <f>Table1[[#This Row],[Verwacht_longontsteking]]*V56</f>
        <v>7081.6</v>
      </c>
      <c r="X56" s="1">
        <f>Table1[[#This Row],[Geschat_longontsteking_hoog]]-Table1[[#This Row],[Verwacht_longontsteking]]</f>
        <v>2655.6000000000004</v>
      </c>
      <c r="Y56" s="2">
        <v>0.95</v>
      </c>
      <c r="Z56" s="1" t="s">
        <v>93</v>
      </c>
    </row>
    <row r="57" spans="1:26" x14ac:dyDescent="0.25">
      <c r="A57" s="1" t="s">
        <v>14</v>
      </c>
      <c r="B57" s="1">
        <v>2023</v>
      </c>
      <c r="C57" s="1" t="s">
        <v>19</v>
      </c>
      <c r="D57" s="1" t="s">
        <v>56</v>
      </c>
      <c r="E57" s="1">
        <v>162941</v>
      </c>
      <c r="F57" s="1">
        <v>50</v>
      </c>
      <c r="G57" s="1" t="s">
        <v>40</v>
      </c>
      <c r="H57" s="1" t="s">
        <v>44</v>
      </c>
      <c r="I57" s="1" t="s">
        <v>78</v>
      </c>
      <c r="J57" s="1">
        <v>1000</v>
      </c>
      <c r="K57" s="1" t="s">
        <v>56</v>
      </c>
      <c r="L57" s="1" t="s">
        <v>84</v>
      </c>
      <c r="M57" s="1" t="s">
        <v>55</v>
      </c>
      <c r="N57" s="1">
        <v>236708</v>
      </c>
      <c r="O57" s="1">
        <v>4426</v>
      </c>
      <c r="P57" s="1">
        <v>0.81</v>
      </c>
      <c r="Q57" s="1">
        <f>Table1[[#This Row],[Verwacht_longontsteking]]*Table1[[#This Row],[OR]]</f>
        <v>3585.0600000000004</v>
      </c>
      <c r="R57" s="1">
        <f>Table1[[#This Row],[Geschat_longontsteking]]-Table1[[#This Row],[Verwacht_longontsteking]]</f>
        <v>-840.9399999999996</v>
      </c>
      <c r="S57" s="1">
        <v>0.56000000000000005</v>
      </c>
      <c r="T57" s="1">
        <f>Table1[[#This Row],[Verwacht_longontsteking]]*S57</f>
        <v>2478.5600000000004</v>
      </c>
      <c r="U57" s="1">
        <f>Table1[[#This Row],[Geschat_longontsteking_laag]]-Table1[[#This Row],[Verwacht_longontsteking]]</f>
        <v>-1947.4399999999996</v>
      </c>
      <c r="V57" s="1">
        <v>1.17</v>
      </c>
      <c r="W57" s="1">
        <f>Table1[[#This Row],[Verwacht_longontsteking]]*V57</f>
        <v>5178.42</v>
      </c>
      <c r="X57" s="1">
        <f>Table1[[#This Row],[Geschat_longontsteking_hoog]]-Table1[[#This Row],[Verwacht_longontsteking]]</f>
        <v>752.42000000000007</v>
      </c>
      <c r="Y57" s="2">
        <v>0.95</v>
      </c>
      <c r="Z57" s="1" t="s">
        <v>93</v>
      </c>
    </row>
    <row r="58" spans="1:26" x14ac:dyDescent="0.25">
      <c r="A58" s="1" t="s">
        <v>14</v>
      </c>
      <c r="B58" s="1">
        <v>2023</v>
      </c>
      <c r="C58" s="1" t="s">
        <v>19</v>
      </c>
      <c r="D58" s="1" t="s">
        <v>56</v>
      </c>
      <c r="E58" s="1">
        <v>162941</v>
      </c>
      <c r="F58" s="1">
        <v>50</v>
      </c>
      <c r="G58" s="1" t="s">
        <v>40</v>
      </c>
      <c r="H58" s="1" t="s">
        <v>44</v>
      </c>
      <c r="I58" s="1" t="s">
        <v>78</v>
      </c>
      <c r="J58" s="1">
        <v>1000</v>
      </c>
      <c r="K58" s="1" t="s">
        <v>56</v>
      </c>
      <c r="L58" s="1" t="s">
        <v>85</v>
      </c>
      <c r="M58" s="1" t="s">
        <v>55</v>
      </c>
      <c r="N58" s="1">
        <v>236708</v>
      </c>
      <c r="O58" s="1">
        <v>4426</v>
      </c>
      <c r="P58" s="1">
        <v>1</v>
      </c>
      <c r="Q58" s="1">
        <f>Table1[[#This Row],[Verwacht_longontsteking]]*Table1[[#This Row],[OR]]</f>
        <v>4426</v>
      </c>
      <c r="R58" s="1">
        <f>Table1[[#This Row],[Geschat_longontsteking]]-Table1[[#This Row],[Verwacht_longontsteking]]</f>
        <v>0</v>
      </c>
      <c r="S58" s="1">
        <v>0.7</v>
      </c>
      <c r="T58" s="1">
        <f>Table1[[#This Row],[Verwacht_longontsteking]]*S58</f>
        <v>3098.2</v>
      </c>
      <c r="U58" s="1">
        <f>Table1[[#This Row],[Geschat_longontsteking_laag]]-Table1[[#This Row],[Verwacht_longontsteking]]</f>
        <v>-1327.8000000000002</v>
      </c>
      <c r="V58" s="1">
        <v>1.42</v>
      </c>
      <c r="W58" s="1">
        <f>Table1[[#This Row],[Verwacht_longontsteking]]*V58</f>
        <v>6284.92</v>
      </c>
      <c r="X58" s="1">
        <f>Table1[[#This Row],[Geschat_longontsteking_hoog]]-Table1[[#This Row],[Verwacht_longontsteking]]</f>
        <v>1858.92</v>
      </c>
      <c r="Y58" s="2">
        <v>0.95</v>
      </c>
      <c r="Z58" s="1" t="s">
        <v>93</v>
      </c>
    </row>
    <row r="59" spans="1:26" x14ac:dyDescent="0.25">
      <c r="A59" s="1" t="s">
        <v>14</v>
      </c>
      <c r="B59" s="1">
        <v>2023</v>
      </c>
      <c r="C59" s="1" t="s">
        <v>19</v>
      </c>
      <c r="D59" s="1" t="s">
        <v>56</v>
      </c>
      <c r="E59" s="1">
        <v>162941</v>
      </c>
      <c r="F59" s="1">
        <v>50</v>
      </c>
      <c r="G59" s="1" t="s">
        <v>40</v>
      </c>
      <c r="H59" s="1" t="s">
        <v>44</v>
      </c>
      <c r="I59" s="1" t="s">
        <v>78</v>
      </c>
      <c r="J59" s="1">
        <v>1000</v>
      </c>
      <c r="K59" s="1" t="s">
        <v>56</v>
      </c>
      <c r="L59" s="1" t="s">
        <v>86</v>
      </c>
      <c r="M59" s="1" t="s">
        <v>55</v>
      </c>
      <c r="N59" s="1">
        <v>236708</v>
      </c>
      <c r="O59" s="1">
        <v>4426</v>
      </c>
      <c r="P59" s="1">
        <v>1.1499999999999999</v>
      </c>
      <c r="Q59" s="1">
        <f>Table1[[#This Row],[Verwacht_longontsteking]]*Table1[[#This Row],[OR]]</f>
        <v>5089.8999999999996</v>
      </c>
      <c r="R59" s="1">
        <f>Table1[[#This Row],[Geschat_longontsteking]]-Table1[[#This Row],[Verwacht_longontsteking]]</f>
        <v>663.89999999999964</v>
      </c>
      <c r="S59" s="1">
        <v>0.82</v>
      </c>
      <c r="T59" s="1">
        <f>Table1[[#This Row],[Verwacht_longontsteking]]*S59</f>
        <v>3629.3199999999997</v>
      </c>
      <c r="U59" s="1">
        <f>Table1[[#This Row],[Geschat_longontsteking_laag]]-Table1[[#This Row],[Verwacht_longontsteking]]</f>
        <v>-796.68000000000029</v>
      </c>
      <c r="V59" s="1">
        <v>1.62</v>
      </c>
      <c r="W59" s="1">
        <f>Table1[[#This Row],[Verwacht_longontsteking]]*V59</f>
        <v>7170.1200000000008</v>
      </c>
      <c r="X59" s="1">
        <f>Table1[[#This Row],[Geschat_longontsteking_hoog]]-Table1[[#This Row],[Verwacht_longontsteking]]</f>
        <v>2744.1200000000008</v>
      </c>
      <c r="Y59" s="2">
        <v>0.95</v>
      </c>
      <c r="Z59" s="1" t="s">
        <v>93</v>
      </c>
    </row>
    <row r="60" spans="1:26" x14ac:dyDescent="0.25">
      <c r="A60" s="1" t="s">
        <v>14</v>
      </c>
      <c r="B60" s="1">
        <v>2023</v>
      </c>
      <c r="C60" s="1" t="s">
        <v>19</v>
      </c>
      <c r="D60" s="1" t="s">
        <v>56</v>
      </c>
      <c r="E60" s="1">
        <v>162941</v>
      </c>
      <c r="F60" s="1">
        <v>50</v>
      </c>
      <c r="G60" s="1" t="s">
        <v>40</v>
      </c>
      <c r="H60" s="1" t="s">
        <v>44</v>
      </c>
      <c r="I60" s="1" t="s">
        <v>78</v>
      </c>
      <c r="J60" s="1">
        <v>1000</v>
      </c>
      <c r="K60" s="1" t="s">
        <v>56</v>
      </c>
      <c r="L60" s="1" t="s">
        <v>87</v>
      </c>
      <c r="M60" s="1" t="s">
        <v>55</v>
      </c>
      <c r="N60" s="1">
        <v>236708</v>
      </c>
      <c r="O60" s="1">
        <v>4426</v>
      </c>
      <c r="P60" s="1">
        <v>1.1000000000000001</v>
      </c>
      <c r="Q60" s="1">
        <f>Table1[[#This Row],[Verwacht_longontsteking]]*Table1[[#This Row],[OR]]</f>
        <v>4868.6000000000004</v>
      </c>
      <c r="R60" s="1">
        <f>Table1[[#This Row],[Geschat_longontsteking]]-Table1[[#This Row],[Verwacht_longontsteking]]</f>
        <v>442.60000000000036</v>
      </c>
      <c r="S60" s="1">
        <v>0.81</v>
      </c>
      <c r="T60" s="1">
        <f>Table1[[#This Row],[Verwacht_longontsteking]]*S60</f>
        <v>3585.0600000000004</v>
      </c>
      <c r="U60" s="1">
        <f>Table1[[#This Row],[Geschat_longontsteking_laag]]-Table1[[#This Row],[Verwacht_longontsteking]]</f>
        <v>-840.9399999999996</v>
      </c>
      <c r="V60" s="1">
        <v>1.48</v>
      </c>
      <c r="W60" s="1">
        <f>Table1[[#This Row],[Verwacht_longontsteking]]*V60</f>
        <v>6550.48</v>
      </c>
      <c r="X60" s="1">
        <f>Table1[[#This Row],[Geschat_longontsteking_hoog]]-Table1[[#This Row],[Verwacht_longontsteking]]</f>
        <v>2124.4799999999996</v>
      </c>
      <c r="Y60" s="2">
        <v>0.95</v>
      </c>
      <c r="Z60" s="1" t="s">
        <v>93</v>
      </c>
    </row>
    <row r="61" spans="1:26" x14ac:dyDescent="0.25">
      <c r="A61" s="1" t="s">
        <v>14</v>
      </c>
      <c r="B61" s="1">
        <v>2023</v>
      </c>
      <c r="C61" s="1" t="s">
        <v>19</v>
      </c>
      <c r="D61" s="1" t="s">
        <v>56</v>
      </c>
      <c r="E61" s="1">
        <v>162941</v>
      </c>
      <c r="F61" s="1">
        <v>50</v>
      </c>
      <c r="G61" s="1" t="s">
        <v>40</v>
      </c>
      <c r="H61" s="1" t="s">
        <v>44</v>
      </c>
      <c r="I61" s="1" t="s">
        <v>78</v>
      </c>
      <c r="J61" s="1">
        <v>1000</v>
      </c>
      <c r="K61" s="1" t="s">
        <v>56</v>
      </c>
      <c r="L61" s="1" t="s">
        <v>88</v>
      </c>
      <c r="M61" s="1" t="s">
        <v>55</v>
      </c>
      <c r="N61" s="1">
        <v>236708</v>
      </c>
      <c r="O61" s="1">
        <v>4426</v>
      </c>
      <c r="P61" s="1">
        <v>1.25</v>
      </c>
      <c r="Q61" s="1">
        <f>Table1[[#This Row],[Verwacht_longontsteking]]*Table1[[#This Row],[OR]]</f>
        <v>5532.5</v>
      </c>
      <c r="R61" s="1">
        <f>Table1[[#This Row],[Geschat_longontsteking]]-Table1[[#This Row],[Verwacht_longontsteking]]</f>
        <v>1106.5</v>
      </c>
      <c r="S61" s="1">
        <v>0.95</v>
      </c>
      <c r="T61" s="1">
        <f>Table1[[#This Row],[Verwacht_longontsteking]]*S61</f>
        <v>4204.7</v>
      </c>
      <c r="U61" s="1">
        <f>Table1[[#This Row],[Geschat_longontsteking_laag]]-Table1[[#This Row],[Verwacht_longontsteking]]</f>
        <v>-221.30000000000018</v>
      </c>
      <c r="V61" s="1">
        <v>1.63</v>
      </c>
      <c r="W61" s="1">
        <f>Table1[[#This Row],[Verwacht_longontsteking]]*V61</f>
        <v>7214.3799999999992</v>
      </c>
      <c r="X61" s="1">
        <f>Table1[[#This Row],[Geschat_longontsteking_hoog]]-Table1[[#This Row],[Verwacht_longontsteking]]</f>
        <v>2788.3799999999992</v>
      </c>
      <c r="Y61" s="2">
        <v>0.95</v>
      </c>
      <c r="Z61" s="1" t="s">
        <v>93</v>
      </c>
    </row>
    <row r="62" spans="1:26" x14ac:dyDescent="0.25">
      <c r="A62" s="1" t="s">
        <v>14</v>
      </c>
      <c r="B62" s="1">
        <v>2023</v>
      </c>
      <c r="C62" s="1" t="s">
        <v>19</v>
      </c>
      <c r="D62" s="1" t="s">
        <v>56</v>
      </c>
      <c r="E62" s="1">
        <v>162941</v>
      </c>
      <c r="F62" s="1">
        <v>50</v>
      </c>
      <c r="G62" s="1" t="s">
        <v>40</v>
      </c>
      <c r="H62" s="1" t="s">
        <v>44</v>
      </c>
      <c r="I62" s="1" t="s">
        <v>78</v>
      </c>
      <c r="J62" s="1">
        <v>1000</v>
      </c>
      <c r="K62" s="1" t="s">
        <v>56</v>
      </c>
      <c r="L62" s="1" t="s">
        <v>89</v>
      </c>
      <c r="M62" s="1" t="s">
        <v>55</v>
      </c>
      <c r="N62" s="1">
        <v>236708</v>
      </c>
      <c r="O62" s="1">
        <v>4426</v>
      </c>
      <c r="P62" s="1">
        <v>0.97</v>
      </c>
      <c r="Q62" s="1">
        <f>Table1[[#This Row],[Verwacht_longontsteking]]*Table1[[#This Row],[OR]]</f>
        <v>4293.22</v>
      </c>
      <c r="R62" s="1">
        <f>Table1[[#This Row],[Geschat_longontsteking]]-Table1[[#This Row],[Verwacht_longontsteking]]</f>
        <v>-132.77999999999975</v>
      </c>
      <c r="S62" s="1">
        <v>0.73</v>
      </c>
      <c r="T62" s="1">
        <f>Table1[[#This Row],[Verwacht_longontsteking]]*S62</f>
        <v>3230.98</v>
      </c>
      <c r="U62" s="1">
        <f>Table1[[#This Row],[Geschat_longontsteking_laag]]-Table1[[#This Row],[Verwacht_longontsteking]]</f>
        <v>-1195.02</v>
      </c>
      <c r="V62" s="1">
        <v>1.3</v>
      </c>
      <c r="W62" s="1">
        <f>Table1[[#This Row],[Verwacht_longontsteking]]*V62</f>
        <v>5753.8</v>
      </c>
      <c r="X62" s="1">
        <f>Table1[[#This Row],[Geschat_longontsteking_hoog]]-Table1[[#This Row],[Verwacht_longontsteking]]</f>
        <v>1327.8000000000002</v>
      </c>
      <c r="Y62" s="2">
        <v>0.95</v>
      </c>
      <c r="Z62" s="1" t="s">
        <v>93</v>
      </c>
    </row>
    <row r="63" spans="1:26" x14ac:dyDescent="0.25">
      <c r="A63" s="1" t="s">
        <v>14</v>
      </c>
      <c r="B63" s="1">
        <v>2023</v>
      </c>
      <c r="C63" s="1" t="s">
        <v>19</v>
      </c>
      <c r="D63" s="1" t="s">
        <v>56</v>
      </c>
      <c r="E63" s="1">
        <v>162941</v>
      </c>
      <c r="F63" s="1">
        <v>50</v>
      </c>
      <c r="G63" s="1" t="s">
        <v>40</v>
      </c>
      <c r="H63" s="1" t="s">
        <v>44</v>
      </c>
      <c r="I63" s="1" t="s">
        <v>78</v>
      </c>
      <c r="J63" s="1">
        <v>1000</v>
      </c>
      <c r="K63" s="1" t="s">
        <v>56</v>
      </c>
      <c r="L63" s="1" t="s">
        <v>90</v>
      </c>
      <c r="M63" s="1" t="s">
        <v>55</v>
      </c>
      <c r="N63" s="1">
        <v>236708</v>
      </c>
      <c r="O63" s="1">
        <v>4426</v>
      </c>
      <c r="P63" s="1">
        <v>0.99</v>
      </c>
      <c r="Q63" s="1">
        <f>Table1[[#This Row],[Verwacht_longontsteking]]*Table1[[#This Row],[OR]]</f>
        <v>4381.74</v>
      </c>
      <c r="R63" s="1">
        <f>Table1[[#This Row],[Geschat_longontsteking]]-Table1[[#This Row],[Verwacht_longontsteking]]</f>
        <v>-44.260000000000218</v>
      </c>
      <c r="S63" s="1">
        <v>0.79</v>
      </c>
      <c r="T63" s="1">
        <f>Table1[[#This Row],[Verwacht_longontsteking]]*S63</f>
        <v>3496.54</v>
      </c>
      <c r="U63" s="1">
        <f>Table1[[#This Row],[Geschat_longontsteking_laag]]-Table1[[#This Row],[Verwacht_longontsteking]]</f>
        <v>-929.46</v>
      </c>
      <c r="V63" s="1">
        <v>1.24</v>
      </c>
      <c r="W63" s="1">
        <f>Table1[[#This Row],[Verwacht_longontsteking]]*V63</f>
        <v>5488.24</v>
      </c>
      <c r="X63" s="1">
        <f>Table1[[#This Row],[Geschat_longontsteking_hoog]]-Table1[[#This Row],[Verwacht_longontsteking]]</f>
        <v>1062.2399999999998</v>
      </c>
      <c r="Y63" s="2">
        <v>0.95</v>
      </c>
      <c r="Z63" s="1" t="s">
        <v>93</v>
      </c>
    </row>
  </sheetData>
  <phoneticPr fontId="1" type="noConversion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Jacobs</dc:creator>
  <cp:lastModifiedBy>Marc Jacobs (INNOSENS)</cp:lastModifiedBy>
  <dcterms:created xsi:type="dcterms:W3CDTF">2025-03-10T08:20:29Z</dcterms:created>
  <dcterms:modified xsi:type="dcterms:W3CDTF">2026-01-07T15:52:20Z</dcterms:modified>
</cp:coreProperties>
</file>